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51948\Documents\1. CLASES\2. CONCURSOS\VALUATION CHALLENGE\RESULTADO\"/>
    </mc:Choice>
  </mc:AlternateContent>
  <xr:revisionPtr revIDLastSave="0" documentId="13_ncr:1_{8F7C5DCA-E4C5-42CA-9CD0-8F710D6287DB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Índice" sheetId="9" r:id="rId1"/>
    <sheet name="Supuestos" sheetId="1" r:id="rId2"/>
    <sheet name="Ventas proyectadas" sheetId="8" r:id="rId3"/>
    <sheet name="Fin. Statement" sheetId="2" r:id="rId4"/>
    <sheet name="DCF" sheetId="3" r:id="rId5"/>
    <sheet name="WACC" sheetId="4" r:id="rId6"/>
    <sheet name="WK" sheetId="5" r:id="rId7"/>
    <sheet name="OPEX-CAPEX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4" l="1"/>
  <c r="E11" i="4" s="1"/>
  <c r="E9" i="4" s="1"/>
  <c r="E16" i="4" s="1"/>
  <c r="E20" i="4" s="1"/>
  <c r="C41" i="3" s="1"/>
  <c r="B30" i="4"/>
  <c r="B29" i="4" s="1"/>
  <c r="B28" i="4" s="1"/>
  <c r="B27" i="4" s="1"/>
  <c r="F23" i="4"/>
  <c r="C49" i="3"/>
  <c r="E19" i="4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H11" i="1"/>
  <c r="M10" i="1"/>
  <c r="N10" i="1"/>
  <c r="O10" i="1"/>
  <c r="P10" i="1"/>
  <c r="Q10" i="1"/>
  <c r="R10" i="1"/>
  <c r="S10" i="1"/>
  <c r="T10" i="1"/>
  <c r="U10" i="1"/>
  <c r="V10" i="1"/>
  <c r="W10" i="1"/>
  <c r="X10" i="1"/>
  <c r="L10" i="1"/>
  <c r="E52" i="3"/>
  <c r="C48" i="3"/>
  <c r="W26" i="3"/>
  <c r="X26" i="3"/>
  <c r="H9" i="5"/>
  <c r="I9" i="5"/>
  <c r="I18" i="5"/>
  <c r="J18" i="5"/>
  <c r="K18" i="5"/>
  <c r="L18" i="5"/>
  <c r="H18" i="5"/>
  <c r="I12" i="5"/>
  <c r="J12" i="5"/>
  <c r="K12" i="5"/>
  <c r="L12" i="5"/>
  <c r="I14" i="5"/>
  <c r="I23" i="5" s="1"/>
  <c r="J14" i="5"/>
  <c r="K14" i="5"/>
  <c r="L14" i="5"/>
  <c r="H14" i="5"/>
  <c r="H23" i="5" s="1"/>
  <c r="H12" i="5"/>
  <c r="H29" i="5" s="1"/>
  <c r="K9" i="5"/>
  <c r="L9" i="5"/>
  <c r="J9" i="5"/>
  <c r="J46" i="6"/>
  <c r="K46" i="6"/>
  <c r="L46" i="6"/>
  <c r="M46" i="6"/>
  <c r="I46" i="6"/>
  <c r="Q9" i="1"/>
  <c r="R9" i="1" s="1"/>
  <c r="S9" i="1" s="1"/>
  <c r="T9" i="1" s="1"/>
  <c r="U9" i="1" s="1"/>
  <c r="V9" i="1" s="1"/>
  <c r="W9" i="1" s="1"/>
  <c r="X9" i="1" s="1"/>
  <c r="Q12" i="1"/>
  <c r="R12" i="1" s="1"/>
  <c r="S12" i="1" s="1"/>
  <c r="T12" i="1" s="1"/>
  <c r="U12" i="1" s="1"/>
  <c r="V12" i="1" s="1"/>
  <c r="W12" i="1" s="1"/>
  <c r="X12" i="1" s="1"/>
  <c r="Q13" i="1"/>
  <c r="R13" i="1" s="1"/>
  <c r="S13" i="1" s="1"/>
  <c r="T13" i="1" s="1"/>
  <c r="U13" i="1" s="1"/>
  <c r="V13" i="1" s="1"/>
  <c r="W13" i="1" s="1"/>
  <c r="X13" i="1" s="1"/>
  <c r="Q8" i="1"/>
  <c r="R8" i="1" s="1"/>
  <c r="S8" i="1" s="1"/>
  <c r="T8" i="1" s="1"/>
  <c r="U8" i="1" s="1"/>
  <c r="V8" i="1" s="1"/>
  <c r="W8" i="1" s="1"/>
  <c r="X8" i="1" s="1"/>
  <c r="G74" i="1"/>
  <c r="I47" i="6" s="1"/>
  <c r="H74" i="1"/>
  <c r="J47" i="6" s="1"/>
  <c r="I74" i="1"/>
  <c r="K47" i="6" s="1"/>
  <c r="J74" i="1"/>
  <c r="L47" i="6" s="1"/>
  <c r="K74" i="1"/>
  <c r="M47" i="6" s="1"/>
  <c r="H71" i="1"/>
  <c r="I71" i="1"/>
  <c r="J71" i="1"/>
  <c r="K71" i="1"/>
  <c r="G71" i="1"/>
  <c r="G63" i="1"/>
  <c r="I63" i="1"/>
  <c r="J41" i="6" s="1"/>
  <c r="J63" i="1"/>
  <c r="K41" i="6" s="1"/>
  <c r="K63" i="1"/>
  <c r="L41" i="6" s="1"/>
  <c r="H63" i="1"/>
  <c r="I41" i="6" s="1"/>
  <c r="G60" i="1"/>
  <c r="H60" i="1"/>
  <c r="I60" i="1"/>
  <c r="I40" i="6" s="1"/>
  <c r="I42" i="6" s="1"/>
  <c r="J60" i="1"/>
  <c r="J40" i="6" s="1"/>
  <c r="J42" i="6" s="1"/>
  <c r="K60" i="1"/>
  <c r="K40" i="6" s="1"/>
  <c r="K42" i="6" s="1"/>
  <c r="G19" i="1"/>
  <c r="K16" i="6"/>
  <c r="L60" i="8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G61" i="8"/>
  <c r="J61" i="8"/>
  <c r="K61" i="8"/>
  <c r="I61" i="8"/>
  <c r="H61" i="8"/>
  <c r="H35" i="8"/>
  <c r="I35" i="8"/>
  <c r="I36" i="8" s="1"/>
  <c r="J35" i="8"/>
  <c r="J36" i="8" s="1"/>
  <c r="K35" i="8"/>
  <c r="K36" i="8" s="1"/>
  <c r="G35" i="8"/>
  <c r="G36" i="8" s="1"/>
  <c r="K41" i="8"/>
  <c r="G12" i="8"/>
  <c r="G27" i="6" s="1"/>
  <c r="H12" i="8"/>
  <c r="H27" i="6" s="1"/>
  <c r="K63" i="8"/>
  <c r="J63" i="8"/>
  <c r="I63" i="8"/>
  <c r="J12" i="8"/>
  <c r="K12" i="8"/>
  <c r="K47" i="8" s="1"/>
  <c r="I12" i="8"/>
  <c r="I27" i="6" s="1"/>
  <c r="H23" i="8"/>
  <c r="I23" i="8"/>
  <c r="J23" i="8"/>
  <c r="K23" i="8"/>
  <c r="G23" i="8"/>
  <c r="C22" i="6"/>
  <c r="I22" i="6"/>
  <c r="I23" i="6" s="1"/>
  <c r="J22" i="6"/>
  <c r="J23" i="6" s="1"/>
  <c r="K22" i="6"/>
  <c r="K23" i="6" s="1"/>
  <c r="B22" i="6"/>
  <c r="J10" i="6"/>
  <c r="K10" i="6"/>
  <c r="J11" i="6"/>
  <c r="K11" i="6"/>
  <c r="J12" i="6"/>
  <c r="K12" i="6"/>
  <c r="J13" i="6"/>
  <c r="K13" i="6"/>
  <c r="J14" i="6"/>
  <c r="K14" i="6"/>
  <c r="J15" i="6"/>
  <c r="K15" i="6"/>
  <c r="J16" i="6"/>
  <c r="I16" i="6"/>
  <c r="K27" i="6" s="1"/>
  <c r="I15" i="6"/>
  <c r="I14" i="6"/>
  <c r="I13" i="6"/>
  <c r="I12" i="6"/>
  <c r="I11" i="6"/>
  <c r="I10" i="6"/>
  <c r="B15" i="6"/>
  <c r="B14" i="6"/>
  <c r="B13" i="6"/>
  <c r="B12" i="6"/>
  <c r="B11" i="6"/>
  <c r="B10" i="6"/>
  <c r="J46" i="1"/>
  <c r="K46" i="1"/>
  <c r="I46" i="1"/>
  <c r="H19" i="1"/>
  <c r="I19" i="1"/>
  <c r="J8" i="5" s="1"/>
  <c r="J19" i="1"/>
  <c r="K8" i="5" s="1"/>
  <c r="L66" i="8"/>
  <c r="L63" i="8" s="1"/>
  <c r="M66" i="8"/>
  <c r="N66" i="8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N63" i="8"/>
  <c r="O63" i="8"/>
  <c r="O64" i="8" s="1"/>
  <c r="P63" i="8"/>
  <c r="P64" i="8" s="1"/>
  <c r="Q63" i="8"/>
  <c r="Q64" i="8" s="1"/>
  <c r="R63" i="8"/>
  <c r="R64" i="8" s="1"/>
  <c r="S63" i="8"/>
  <c r="S64" i="8" s="1"/>
  <c r="T63" i="8"/>
  <c r="T64" i="8" s="1"/>
  <c r="U63" i="8"/>
  <c r="U64" i="8" s="1"/>
  <c r="V63" i="8"/>
  <c r="V64" i="8" s="1"/>
  <c r="W63" i="8"/>
  <c r="W64" i="8" s="1"/>
  <c r="X63" i="8"/>
  <c r="X64" i="8" s="1"/>
  <c r="M63" i="8"/>
  <c r="G41" i="8"/>
  <c r="H41" i="8"/>
  <c r="I41" i="8"/>
  <c r="J41" i="8"/>
  <c r="G42" i="8"/>
  <c r="K50" i="8"/>
  <c r="G50" i="8"/>
  <c r="H50" i="8"/>
  <c r="I50" i="8"/>
  <c r="I51" i="8" s="1"/>
  <c r="J50" i="8"/>
  <c r="J51" i="8" s="1"/>
  <c r="G51" i="8"/>
  <c r="G63" i="8"/>
  <c r="G64" i="8" s="1"/>
  <c r="H63" i="8"/>
  <c r="M73" i="8"/>
  <c r="L75" i="8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L76" i="8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L74" i="8"/>
  <c r="L32" i="8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L31" i="8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L30" i="8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L28" i="8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L27" i="8"/>
  <c r="L23" i="8" s="1"/>
  <c r="I8" i="8"/>
  <c r="J8" i="8"/>
  <c r="H8" i="8"/>
  <c r="G8" i="8"/>
  <c r="G20" i="1" s="1"/>
  <c r="I64" i="8"/>
  <c r="J64" i="8"/>
  <c r="I42" i="8"/>
  <c r="J42" i="8"/>
  <c r="K42" i="8"/>
  <c r="G24" i="8"/>
  <c r="H24" i="8"/>
  <c r="K24" i="8"/>
  <c r="I24" i="8"/>
  <c r="B31" i="4" l="1"/>
  <c r="B32" i="4" s="1"/>
  <c r="B33" i="4" s="1"/>
  <c r="F26" i="4"/>
  <c r="J47" i="8"/>
  <c r="J27" i="6"/>
  <c r="H49" i="1"/>
  <c r="I8" i="5"/>
  <c r="G49" i="1"/>
  <c r="H8" i="5"/>
  <c r="L29" i="5"/>
  <c r="K29" i="5"/>
  <c r="J29" i="5"/>
  <c r="I29" i="5"/>
  <c r="I30" i="5" s="1"/>
  <c r="H26" i="5"/>
  <c r="K26" i="5"/>
  <c r="J26" i="5"/>
  <c r="I26" i="5"/>
  <c r="H22" i="5"/>
  <c r="L23" i="5"/>
  <c r="K23" i="5"/>
  <c r="J23" i="5"/>
  <c r="K22" i="5"/>
  <c r="J22" i="5"/>
  <c r="I22" i="5"/>
  <c r="H19" i="5"/>
  <c r="K19" i="5"/>
  <c r="J19" i="5"/>
  <c r="I19" i="5"/>
  <c r="H13" i="5"/>
  <c r="H15" i="5"/>
  <c r="K15" i="5"/>
  <c r="J15" i="5"/>
  <c r="I15" i="5"/>
  <c r="K13" i="5"/>
  <c r="J13" i="5"/>
  <c r="I13" i="5"/>
  <c r="J43" i="6"/>
  <c r="I43" i="6"/>
  <c r="K76" i="1"/>
  <c r="J76" i="1"/>
  <c r="I76" i="1"/>
  <c r="H76" i="1"/>
  <c r="G76" i="1"/>
  <c r="J64" i="1"/>
  <c r="J61" i="1"/>
  <c r="I64" i="1"/>
  <c r="I61" i="1"/>
  <c r="H64" i="1"/>
  <c r="H61" i="1"/>
  <c r="G61" i="1"/>
  <c r="G64" i="1"/>
  <c r="H36" i="8"/>
  <c r="I13" i="8"/>
  <c r="I47" i="8"/>
  <c r="K13" i="8"/>
  <c r="H13" i="8"/>
  <c r="H47" i="8"/>
  <c r="G13" i="8"/>
  <c r="G47" i="8"/>
  <c r="J13" i="8"/>
  <c r="K64" i="8"/>
  <c r="H20" i="1"/>
  <c r="J50" i="1"/>
  <c r="K50" i="1"/>
  <c r="I50" i="1"/>
  <c r="J42" i="1"/>
  <c r="J39" i="1"/>
  <c r="J36" i="1"/>
  <c r="J33" i="1"/>
  <c r="J30" i="1"/>
  <c r="J27" i="1"/>
  <c r="J20" i="1"/>
  <c r="I42" i="1"/>
  <c r="I39" i="1"/>
  <c r="I36" i="1"/>
  <c r="I33" i="1"/>
  <c r="I30" i="1"/>
  <c r="I27" i="1"/>
  <c r="I20" i="1"/>
  <c r="K51" i="8"/>
  <c r="L64" i="8"/>
  <c r="M64" i="8"/>
  <c r="N64" i="8"/>
  <c r="M27" i="8"/>
  <c r="M23" i="8" s="1"/>
  <c r="M74" i="8"/>
  <c r="N74" i="8"/>
  <c r="O74" i="8"/>
  <c r="P74" i="8"/>
  <c r="Q74" i="8"/>
  <c r="N73" i="8"/>
  <c r="O73" i="8"/>
  <c r="P73" i="8"/>
  <c r="Q73" i="8"/>
  <c r="R73" i="8"/>
  <c r="S73" i="8"/>
  <c r="L24" i="8"/>
  <c r="J24" i="8"/>
  <c r="H42" i="8"/>
  <c r="H51" i="8"/>
  <c r="H64" i="8"/>
  <c r="E26" i="4" l="1"/>
  <c r="D26" i="4" s="1"/>
  <c r="C26" i="4" s="1"/>
  <c r="G26" i="4"/>
  <c r="H26" i="4" s="1"/>
  <c r="I26" i="4" s="1"/>
  <c r="M32" i="3"/>
  <c r="N32" i="3"/>
  <c r="O32" i="3"/>
  <c r="P32" i="3"/>
  <c r="Q32" i="3"/>
  <c r="R32" i="3"/>
  <c r="S32" i="3"/>
  <c r="T32" i="3"/>
  <c r="U32" i="3"/>
  <c r="V32" i="3"/>
  <c r="W32" i="3"/>
  <c r="X32" i="3"/>
  <c r="L32" i="3"/>
  <c r="J30" i="5"/>
  <c r="K30" i="5"/>
  <c r="L30" i="5"/>
  <c r="M76" i="1"/>
  <c r="N76" i="1"/>
  <c r="O76" i="1"/>
  <c r="P76" i="1"/>
  <c r="Q76" i="1"/>
  <c r="R76" i="1"/>
  <c r="S76" i="1"/>
  <c r="T76" i="1"/>
  <c r="U76" i="1"/>
  <c r="V76" i="1"/>
  <c r="W76" i="1"/>
  <c r="X76" i="1"/>
  <c r="L76" i="1"/>
  <c r="L46" i="8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L44" i="8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L45" i="8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L41" i="8"/>
  <c r="L16" i="8"/>
  <c r="L17" i="8"/>
  <c r="L18" i="8"/>
  <c r="L19" i="8"/>
  <c r="L15" i="8"/>
  <c r="M50" i="1"/>
  <c r="N50" i="1"/>
  <c r="O50" i="1"/>
  <c r="P50" i="1"/>
  <c r="Q50" i="1"/>
  <c r="R50" i="1"/>
  <c r="S50" i="1"/>
  <c r="T50" i="1"/>
  <c r="U50" i="1"/>
  <c r="V50" i="1"/>
  <c r="W50" i="1"/>
  <c r="X50" i="1"/>
  <c r="L50" i="1"/>
  <c r="L54" i="8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L55" i="8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L56" i="8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L53" i="8"/>
  <c r="T73" i="8"/>
  <c r="R74" i="8"/>
  <c r="N27" i="8"/>
  <c r="N23" i="8" s="1"/>
  <c r="L12" i="8" l="1"/>
  <c r="M41" i="8"/>
  <c r="M53" i="8"/>
  <c r="L50" i="8"/>
  <c r="L51" i="8" s="1"/>
  <c r="M24" i="8"/>
  <c r="O27" i="8"/>
  <c r="O23" i="8" s="1"/>
  <c r="S74" i="8"/>
  <c r="U73" i="8"/>
  <c r="M15" i="8" l="1"/>
  <c r="M19" i="8"/>
  <c r="M18" i="8"/>
  <c r="M17" i="8"/>
  <c r="M16" i="8"/>
  <c r="O24" i="8"/>
  <c r="N53" i="8"/>
  <c r="M50" i="8"/>
  <c r="M51" i="8" s="1"/>
  <c r="L42" i="8"/>
  <c r="L38" i="8" s="1"/>
  <c r="L35" i="8" s="1"/>
  <c r="N41" i="8"/>
  <c r="N24" i="8"/>
  <c r="V73" i="8"/>
  <c r="T74" i="8"/>
  <c r="P27" i="8"/>
  <c r="P23" i="8" s="1"/>
  <c r="L36" i="8" l="1"/>
  <c r="L7" i="8"/>
  <c r="L27" i="6" s="1"/>
  <c r="N16" i="8"/>
  <c r="N17" i="8"/>
  <c r="N18" i="8"/>
  <c r="M12" i="8"/>
  <c r="N19" i="8"/>
  <c r="N15" i="8"/>
  <c r="O16" i="8"/>
  <c r="O17" i="8"/>
  <c r="O18" i="8"/>
  <c r="O19" i="8"/>
  <c r="O15" i="8"/>
  <c r="M42" i="8"/>
  <c r="M38" i="8" s="1"/>
  <c r="M35" i="8" s="1"/>
  <c r="M36" i="8" s="1"/>
  <c r="O41" i="8"/>
  <c r="O53" i="8"/>
  <c r="N50" i="8"/>
  <c r="N51" i="8" s="1"/>
  <c r="Q27" i="8"/>
  <c r="Q23" i="8" s="1"/>
  <c r="U74" i="8"/>
  <c r="W73" i="8"/>
  <c r="X73" i="8" s="1"/>
  <c r="M7" i="8" l="1"/>
  <c r="M27" i="6" s="1"/>
  <c r="N12" i="8"/>
  <c r="O12" i="8"/>
  <c r="P53" i="8"/>
  <c r="O50" i="8"/>
  <c r="O51" i="8" s="1"/>
  <c r="N42" i="8"/>
  <c r="N38" i="8" s="1"/>
  <c r="N35" i="8" s="1"/>
  <c r="N36" i="8" s="1"/>
  <c r="P41" i="8"/>
  <c r="P24" i="8"/>
  <c r="V74" i="8"/>
  <c r="R27" i="8"/>
  <c r="R23" i="8" s="1"/>
  <c r="N7" i="8" l="1"/>
  <c r="P15" i="8"/>
  <c r="P19" i="8"/>
  <c r="P18" i="8"/>
  <c r="P17" i="8"/>
  <c r="P16" i="8"/>
  <c r="O42" i="8"/>
  <c r="O38" i="8" s="1"/>
  <c r="O35" i="8" s="1"/>
  <c r="Q41" i="8"/>
  <c r="Q53" i="8"/>
  <c r="P50" i="8"/>
  <c r="P51" i="8" s="1"/>
  <c r="Q24" i="8"/>
  <c r="S27" i="8"/>
  <c r="S23" i="8" s="1"/>
  <c r="W74" i="8"/>
  <c r="X74" i="8" s="1"/>
  <c r="O36" i="8" l="1"/>
  <c r="O7" i="8"/>
  <c r="Q16" i="8"/>
  <c r="Q17" i="8"/>
  <c r="Q18" i="8"/>
  <c r="Q15" i="8"/>
  <c r="P12" i="8"/>
  <c r="Q19" i="8"/>
  <c r="R53" i="8"/>
  <c r="Q50" i="8"/>
  <c r="Q51" i="8" s="1"/>
  <c r="P42" i="8"/>
  <c r="P38" i="8" s="1"/>
  <c r="P35" i="8" s="1"/>
  <c r="P36" i="8" s="1"/>
  <c r="R41" i="8"/>
  <c r="R24" i="8"/>
  <c r="T27" i="8"/>
  <c r="T23" i="8" s="1"/>
  <c r="P7" i="8" l="1"/>
  <c r="R15" i="8"/>
  <c r="R18" i="8"/>
  <c r="R17" i="8"/>
  <c r="R16" i="8"/>
  <c r="Q12" i="8"/>
  <c r="R19" i="8"/>
  <c r="Q42" i="8"/>
  <c r="Q38" i="8" s="1"/>
  <c r="Q35" i="8" s="1"/>
  <c r="Q36" i="8" s="1"/>
  <c r="S41" i="8"/>
  <c r="S53" i="8"/>
  <c r="R50" i="8"/>
  <c r="R51" i="8" s="1"/>
  <c r="S24" i="8"/>
  <c r="U27" i="8"/>
  <c r="U23" i="8" s="1"/>
  <c r="Q7" i="8" l="1"/>
  <c r="S16" i="8"/>
  <c r="S17" i="8"/>
  <c r="S18" i="8"/>
  <c r="S15" i="8"/>
  <c r="R12" i="8"/>
  <c r="S19" i="8"/>
  <c r="T53" i="8"/>
  <c r="S50" i="8"/>
  <c r="S51" i="8" s="1"/>
  <c r="R42" i="8"/>
  <c r="R38" i="8" s="1"/>
  <c r="R35" i="8" s="1"/>
  <c r="R36" i="8" s="1"/>
  <c r="T41" i="8"/>
  <c r="T24" i="8"/>
  <c r="V27" i="8"/>
  <c r="V23" i="8" s="1"/>
  <c r="R7" i="8" l="1"/>
  <c r="T15" i="8"/>
  <c r="T18" i="8"/>
  <c r="T17" i="8"/>
  <c r="T16" i="8"/>
  <c r="S12" i="8"/>
  <c r="T19" i="8"/>
  <c r="S42" i="8"/>
  <c r="S38" i="8" s="1"/>
  <c r="S35" i="8" s="1"/>
  <c r="S36" i="8" s="1"/>
  <c r="U41" i="8"/>
  <c r="U53" i="8"/>
  <c r="T50" i="8"/>
  <c r="T51" i="8" s="1"/>
  <c r="U24" i="8"/>
  <c r="W27" i="8"/>
  <c r="W23" i="8" s="1"/>
  <c r="S7" i="8" l="1"/>
  <c r="U16" i="8"/>
  <c r="U17" i="8"/>
  <c r="U18" i="8"/>
  <c r="U15" i="8"/>
  <c r="T12" i="8"/>
  <c r="U19" i="8"/>
  <c r="V53" i="8"/>
  <c r="U50" i="8"/>
  <c r="U51" i="8" s="1"/>
  <c r="T42" i="8"/>
  <c r="T38" i="8" s="1"/>
  <c r="T35" i="8" s="1"/>
  <c r="T36" i="8" s="1"/>
  <c r="V41" i="8"/>
  <c r="V24" i="8"/>
  <c r="X27" i="8"/>
  <c r="X23" i="8" s="1"/>
  <c r="T7" i="8" l="1"/>
  <c r="V15" i="8"/>
  <c r="V18" i="8"/>
  <c r="V17" i="8"/>
  <c r="V16" i="8"/>
  <c r="U12" i="8"/>
  <c r="V19" i="8"/>
  <c r="U42" i="8"/>
  <c r="U38" i="8" s="1"/>
  <c r="U35" i="8" s="1"/>
  <c r="U36" i="8" s="1"/>
  <c r="W41" i="8"/>
  <c r="W53" i="8"/>
  <c r="V50" i="8"/>
  <c r="V51" i="8" s="1"/>
  <c r="W24" i="8"/>
  <c r="X24" i="8"/>
  <c r="U7" i="8" l="1"/>
  <c r="W16" i="8"/>
  <c r="X16" i="8" s="1"/>
  <c r="W17" i="8"/>
  <c r="X17" i="8" s="1"/>
  <c r="W18" i="8"/>
  <c r="X18" i="8" s="1"/>
  <c r="W15" i="8"/>
  <c r="X15" i="8" s="1"/>
  <c r="V12" i="8"/>
  <c r="W19" i="8"/>
  <c r="X53" i="8"/>
  <c r="X50" i="8" s="1"/>
  <c r="W50" i="8"/>
  <c r="W51" i="8" s="1"/>
  <c r="V42" i="8"/>
  <c r="V38" i="8" s="1"/>
  <c r="V35" i="8" s="1"/>
  <c r="V36" i="8" s="1"/>
  <c r="X41" i="8"/>
  <c r="V7" i="8" l="1"/>
  <c r="W12" i="8"/>
  <c r="X19" i="8"/>
  <c r="X12" i="8" s="1"/>
  <c r="W42" i="8"/>
  <c r="W38" i="8" s="1"/>
  <c r="W35" i="8" s="1"/>
  <c r="W36" i="8" s="1"/>
  <c r="X42" i="8"/>
  <c r="X51" i="8"/>
  <c r="K19" i="1"/>
  <c r="K20" i="1"/>
  <c r="K8" i="8"/>
  <c r="K43" i="6" l="1"/>
  <c r="L8" i="5"/>
  <c r="K64" i="1"/>
  <c r="K61" i="1"/>
  <c r="W7" i="8"/>
  <c r="X38" i="8"/>
  <c r="X35" i="8" s="1"/>
  <c r="K27" i="1"/>
  <c r="K30" i="1"/>
  <c r="K33" i="1"/>
  <c r="K36" i="1"/>
  <c r="K39" i="1"/>
  <c r="K42" i="1"/>
  <c r="L26" i="5" l="1"/>
  <c r="L22" i="5"/>
  <c r="L19" i="5"/>
  <c r="L15" i="5"/>
  <c r="L13" i="5"/>
  <c r="L64" i="1"/>
  <c r="M64" i="1"/>
  <c r="X36" i="8"/>
  <c r="X7" i="8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W27" i="1"/>
  <c r="X27" i="1"/>
  <c r="V27" i="1"/>
  <c r="U27" i="1"/>
  <c r="T27" i="1"/>
  <c r="S27" i="1"/>
  <c r="R27" i="1"/>
  <c r="Q27" i="1"/>
  <c r="P27" i="1"/>
  <c r="O27" i="1"/>
  <c r="N27" i="1"/>
  <c r="M27" i="1"/>
  <c r="L27" i="1"/>
  <c r="L19" i="1"/>
  <c r="L8" i="8"/>
  <c r="M19" i="1"/>
  <c r="M8" i="8"/>
  <c r="N19" i="1"/>
  <c r="N8" i="8"/>
  <c r="O19" i="1"/>
  <c r="O8" i="8"/>
  <c r="P19" i="1"/>
  <c r="P8" i="8"/>
  <c r="Q19" i="1"/>
  <c r="Q8" i="8"/>
  <c r="R19" i="1"/>
  <c r="R8" i="8"/>
  <c r="S19" i="1"/>
  <c r="S8" i="8"/>
  <c r="T19" i="1"/>
  <c r="T8" i="8"/>
  <c r="U19" i="1"/>
  <c r="U8" i="8"/>
  <c r="V19" i="1"/>
  <c r="V8" i="8"/>
  <c r="X19" i="1"/>
  <c r="X8" i="8"/>
  <c r="W19" i="1"/>
  <c r="W8" i="8"/>
  <c r="W8" i="3" l="1"/>
  <c r="X8" i="5"/>
  <c r="X8" i="3"/>
  <c r="Y8" i="5"/>
  <c r="V8" i="3"/>
  <c r="W8" i="5"/>
  <c r="U8" i="3"/>
  <c r="V8" i="5"/>
  <c r="T8" i="3"/>
  <c r="U8" i="5"/>
  <c r="S8" i="3"/>
  <c r="T8" i="5"/>
  <c r="R8" i="3"/>
  <c r="S8" i="5"/>
  <c r="Q8" i="3"/>
  <c r="R8" i="5"/>
  <c r="P8" i="3"/>
  <c r="Q8" i="5"/>
  <c r="O8" i="3"/>
  <c r="P8" i="5"/>
  <c r="N8" i="3"/>
  <c r="O8" i="5"/>
  <c r="M8" i="3"/>
  <c r="N8" i="5"/>
  <c r="L8" i="3"/>
  <c r="M8" i="5"/>
  <c r="N13" i="5"/>
  <c r="N12" i="5" s="1"/>
  <c r="O13" i="5"/>
  <c r="O12" i="5" s="1"/>
  <c r="P13" i="5"/>
  <c r="P12" i="5" s="1"/>
  <c r="Q13" i="5"/>
  <c r="Q12" i="5" s="1"/>
  <c r="R13" i="5"/>
  <c r="R12" i="5" s="1"/>
  <c r="S13" i="5"/>
  <c r="S12" i="5" s="1"/>
  <c r="T13" i="5"/>
  <c r="T12" i="5" s="1"/>
  <c r="U13" i="5"/>
  <c r="U12" i="5" s="1"/>
  <c r="V13" i="5"/>
  <c r="V12" i="5" s="1"/>
  <c r="W13" i="5"/>
  <c r="W12" i="5" s="1"/>
  <c r="X13" i="5"/>
  <c r="X12" i="5" s="1"/>
  <c r="Y13" i="5"/>
  <c r="Y12" i="5" s="1"/>
  <c r="M13" i="5"/>
  <c r="M12" i="5" s="1"/>
  <c r="N15" i="5"/>
  <c r="N14" i="5" s="1"/>
  <c r="O15" i="5"/>
  <c r="O14" i="5" s="1"/>
  <c r="P15" i="5"/>
  <c r="P14" i="5" s="1"/>
  <c r="Q15" i="5"/>
  <c r="Q14" i="5" s="1"/>
  <c r="R15" i="5"/>
  <c r="R14" i="5" s="1"/>
  <c r="S15" i="5"/>
  <c r="S14" i="5" s="1"/>
  <c r="T15" i="5"/>
  <c r="T14" i="5" s="1"/>
  <c r="U15" i="5"/>
  <c r="U14" i="5" s="1"/>
  <c r="V15" i="5"/>
  <c r="V14" i="5" s="1"/>
  <c r="W15" i="5"/>
  <c r="W14" i="5" s="1"/>
  <c r="X15" i="5"/>
  <c r="X14" i="5" s="1"/>
  <c r="Y15" i="5"/>
  <c r="Y14" i="5" s="1"/>
  <c r="M15" i="5"/>
  <c r="M14" i="5" s="1"/>
  <c r="N19" i="5"/>
  <c r="N18" i="5" s="1"/>
  <c r="N26" i="5" s="1"/>
  <c r="O19" i="5"/>
  <c r="O18" i="5" s="1"/>
  <c r="O26" i="5" s="1"/>
  <c r="P19" i="5"/>
  <c r="P18" i="5" s="1"/>
  <c r="P26" i="5" s="1"/>
  <c r="Q19" i="5"/>
  <c r="Q18" i="5" s="1"/>
  <c r="Q26" i="5" s="1"/>
  <c r="R19" i="5"/>
  <c r="R18" i="5" s="1"/>
  <c r="R26" i="5" s="1"/>
  <c r="S19" i="5"/>
  <c r="S18" i="5" s="1"/>
  <c r="S26" i="5" s="1"/>
  <c r="T19" i="5"/>
  <c r="T18" i="5" s="1"/>
  <c r="T26" i="5" s="1"/>
  <c r="U19" i="5"/>
  <c r="U18" i="5" s="1"/>
  <c r="U26" i="5" s="1"/>
  <c r="V19" i="5"/>
  <c r="V18" i="5" s="1"/>
  <c r="V26" i="5" s="1"/>
  <c r="W19" i="5"/>
  <c r="W18" i="5" s="1"/>
  <c r="W26" i="5" s="1"/>
  <c r="X19" i="5"/>
  <c r="X18" i="5" s="1"/>
  <c r="X26" i="5" s="1"/>
  <c r="Y19" i="5"/>
  <c r="Y18" i="5" s="1"/>
  <c r="Y26" i="5" s="1"/>
  <c r="M19" i="5"/>
  <c r="M18" i="5" s="1"/>
  <c r="M26" i="5" s="1"/>
  <c r="W59" i="1"/>
  <c r="W71" i="1" s="1"/>
  <c r="W74" i="1" s="1"/>
  <c r="W24" i="3" s="1"/>
  <c r="X59" i="1"/>
  <c r="V59" i="1"/>
  <c r="V71" i="1" s="1"/>
  <c r="V74" i="1" s="1"/>
  <c r="U59" i="1"/>
  <c r="U71" i="1" s="1"/>
  <c r="U74" i="1" s="1"/>
  <c r="T59" i="1"/>
  <c r="T71" i="1" s="1"/>
  <c r="T74" i="1" s="1"/>
  <c r="S59" i="1"/>
  <c r="S71" i="1" s="1"/>
  <c r="S74" i="1" s="1"/>
  <c r="R59" i="1"/>
  <c r="R71" i="1" s="1"/>
  <c r="R74" i="1" s="1"/>
  <c r="Q59" i="1"/>
  <c r="Q71" i="1" s="1"/>
  <c r="Q74" i="1" s="1"/>
  <c r="P59" i="1"/>
  <c r="P71" i="1" s="1"/>
  <c r="P74" i="1" s="1"/>
  <c r="O59" i="1"/>
  <c r="O71" i="1" s="1"/>
  <c r="O74" i="1" s="1"/>
  <c r="N59" i="1"/>
  <c r="N71" i="1" s="1"/>
  <c r="N74" i="1" s="1"/>
  <c r="M62" i="1"/>
  <c r="M59" i="1"/>
  <c r="M71" i="1" s="1"/>
  <c r="M74" i="1" s="1"/>
  <c r="L62" i="1"/>
  <c r="L63" i="1" s="1"/>
  <c r="M41" i="6" s="1"/>
  <c r="L59" i="1"/>
  <c r="N64" i="1"/>
  <c r="W49" i="1"/>
  <c r="W20" i="1"/>
  <c r="X49" i="1"/>
  <c r="X20" i="1"/>
  <c r="V49" i="1"/>
  <c r="V20" i="1"/>
  <c r="U49" i="1"/>
  <c r="U20" i="1"/>
  <c r="T49" i="1"/>
  <c r="T20" i="1"/>
  <c r="S49" i="1"/>
  <c r="S20" i="1"/>
  <c r="R49" i="1"/>
  <c r="R20" i="1"/>
  <c r="Q49" i="1"/>
  <c r="Q20" i="1"/>
  <c r="P49" i="1"/>
  <c r="P20" i="1"/>
  <c r="O49" i="1"/>
  <c r="O20" i="1"/>
  <c r="N49" i="1"/>
  <c r="N20" i="1"/>
  <c r="M49" i="1"/>
  <c r="M20" i="1"/>
  <c r="L49" i="1"/>
  <c r="L20" i="1"/>
  <c r="L26" i="1"/>
  <c r="M26" i="1"/>
  <c r="N26" i="1"/>
  <c r="O26" i="1"/>
  <c r="P26" i="1"/>
  <c r="Q26" i="1"/>
  <c r="R26" i="1"/>
  <c r="S26" i="1"/>
  <c r="T26" i="1"/>
  <c r="U26" i="1"/>
  <c r="V26" i="1"/>
  <c r="X26" i="1"/>
  <c r="W26" i="1"/>
  <c r="L29" i="1"/>
  <c r="L11" i="6" s="1"/>
  <c r="M29" i="1"/>
  <c r="M11" i="6" s="1"/>
  <c r="N29" i="1"/>
  <c r="N11" i="6" s="1"/>
  <c r="O29" i="1"/>
  <c r="O11" i="6" s="1"/>
  <c r="P29" i="1"/>
  <c r="P11" i="6" s="1"/>
  <c r="Q29" i="1"/>
  <c r="Q11" i="6" s="1"/>
  <c r="R29" i="1"/>
  <c r="R11" i="6" s="1"/>
  <c r="S29" i="1"/>
  <c r="S11" i="6" s="1"/>
  <c r="T29" i="1"/>
  <c r="T11" i="6" s="1"/>
  <c r="U29" i="1"/>
  <c r="U11" i="6" s="1"/>
  <c r="V29" i="1"/>
  <c r="V11" i="6" s="1"/>
  <c r="W29" i="1"/>
  <c r="W11" i="6" s="1"/>
  <c r="X29" i="1"/>
  <c r="X11" i="6" s="1"/>
  <c r="L32" i="1"/>
  <c r="L12" i="6" s="1"/>
  <c r="M32" i="1"/>
  <c r="M12" i="6" s="1"/>
  <c r="N32" i="1"/>
  <c r="N12" i="6" s="1"/>
  <c r="O32" i="1"/>
  <c r="O12" i="6" s="1"/>
  <c r="P32" i="1"/>
  <c r="P12" i="6" s="1"/>
  <c r="Q32" i="1"/>
  <c r="Q12" i="6" s="1"/>
  <c r="R32" i="1"/>
  <c r="R12" i="6" s="1"/>
  <c r="S32" i="1"/>
  <c r="S12" i="6" s="1"/>
  <c r="T32" i="1"/>
  <c r="T12" i="6" s="1"/>
  <c r="U32" i="1"/>
  <c r="U12" i="6" s="1"/>
  <c r="V32" i="1"/>
  <c r="V12" i="6" s="1"/>
  <c r="W32" i="1"/>
  <c r="W12" i="6" s="1"/>
  <c r="X32" i="1"/>
  <c r="X12" i="6" s="1"/>
  <c r="L35" i="1"/>
  <c r="L13" i="6" s="1"/>
  <c r="M35" i="1"/>
  <c r="M13" i="6" s="1"/>
  <c r="N35" i="1"/>
  <c r="N13" i="6" s="1"/>
  <c r="O35" i="1"/>
  <c r="O13" i="6" s="1"/>
  <c r="P35" i="1"/>
  <c r="P13" i="6" s="1"/>
  <c r="Q35" i="1"/>
  <c r="Q13" i="6" s="1"/>
  <c r="R35" i="1"/>
  <c r="R13" i="6" s="1"/>
  <c r="S35" i="1"/>
  <c r="S13" i="6" s="1"/>
  <c r="T35" i="1"/>
  <c r="T13" i="6" s="1"/>
  <c r="U35" i="1"/>
  <c r="U13" i="6" s="1"/>
  <c r="V35" i="1"/>
  <c r="V13" i="6" s="1"/>
  <c r="W35" i="1"/>
  <c r="W13" i="6" s="1"/>
  <c r="X35" i="1"/>
  <c r="X13" i="6" s="1"/>
  <c r="L38" i="1"/>
  <c r="L14" i="6" s="1"/>
  <c r="M38" i="1"/>
  <c r="M14" i="6" s="1"/>
  <c r="N38" i="1"/>
  <c r="N14" i="6" s="1"/>
  <c r="O38" i="1"/>
  <c r="O14" i="6" s="1"/>
  <c r="P38" i="1"/>
  <c r="P14" i="6" s="1"/>
  <c r="Q38" i="1"/>
  <c r="Q14" i="6" s="1"/>
  <c r="R38" i="1"/>
  <c r="R14" i="6" s="1"/>
  <c r="S38" i="1"/>
  <c r="S14" i="6" s="1"/>
  <c r="T38" i="1"/>
  <c r="T14" i="6" s="1"/>
  <c r="U38" i="1"/>
  <c r="U14" i="6" s="1"/>
  <c r="V38" i="1"/>
  <c r="V14" i="6" s="1"/>
  <c r="W38" i="1"/>
  <c r="W14" i="6" s="1"/>
  <c r="X38" i="1"/>
  <c r="X14" i="6" s="1"/>
  <c r="L41" i="1"/>
  <c r="L15" i="6" s="1"/>
  <c r="M41" i="1"/>
  <c r="M15" i="6" s="1"/>
  <c r="N41" i="1"/>
  <c r="N15" i="6" s="1"/>
  <c r="O41" i="1"/>
  <c r="O15" i="6" s="1"/>
  <c r="P41" i="1"/>
  <c r="P15" i="6" s="1"/>
  <c r="Q41" i="1"/>
  <c r="Q15" i="6" s="1"/>
  <c r="R41" i="1"/>
  <c r="R15" i="6" s="1"/>
  <c r="S41" i="1"/>
  <c r="S15" i="6" s="1"/>
  <c r="T41" i="1"/>
  <c r="T15" i="6" s="1"/>
  <c r="U41" i="1"/>
  <c r="U15" i="6" s="1"/>
  <c r="V41" i="1"/>
  <c r="V15" i="6" s="1"/>
  <c r="W41" i="1"/>
  <c r="W15" i="6" s="1"/>
  <c r="X41" i="1"/>
  <c r="X15" i="6" s="1"/>
  <c r="O47" i="6" l="1"/>
  <c r="M24" i="3"/>
  <c r="P47" i="6"/>
  <c r="N24" i="3"/>
  <c r="Q47" i="6"/>
  <c r="O24" i="3"/>
  <c r="R47" i="6"/>
  <c r="P24" i="3"/>
  <c r="S47" i="6"/>
  <c r="Q24" i="3"/>
  <c r="T47" i="6"/>
  <c r="R24" i="3"/>
  <c r="U47" i="6"/>
  <c r="S24" i="3"/>
  <c r="V47" i="6"/>
  <c r="T24" i="3"/>
  <c r="W47" i="6"/>
  <c r="U24" i="3"/>
  <c r="X47" i="6"/>
  <c r="V24" i="3"/>
  <c r="M22" i="5"/>
  <c r="M29" i="5"/>
  <c r="M30" i="5" s="1"/>
  <c r="L25" i="3" s="1"/>
  <c r="Y29" i="5"/>
  <c r="Y22" i="5"/>
  <c r="X29" i="5"/>
  <c r="X22" i="5"/>
  <c r="W29" i="5"/>
  <c r="W22" i="5"/>
  <c r="V29" i="5"/>
  <c r="V22" i="5"/>
  <c r="U29" i="5"/>
  <c r="U22" i="5"/>
  <c r="T29" i="5"/>
  <c r="T22" i="5"/>
  <c r="S29" i="5"/>
  <c r="S22" i="5"/>
  <c r="R29" i="5"/>
  <c r="R22" i="5"/>
  <c r="Q22" i="5"/>
  <c r="Q29" i="5"/>
  <c r="P22" i="5"/>
  <c r="P29" i="5"/>
  <c r="O22" i="5"/>
  <c r="O29" i="5"/>
  <c r="N22" i="5"/>
  <c r="N29" i="5"/>
  <c r="N30" i="5" s="1"/>
  <c r="M25" i="3" s="1"/>
  <c r="L60" i="1"/>
  <c r="L40" i="6" s="1"/>
  <c r="L42" i="6" s="1"/>
  <c r="L43" i="6" s="1"/>
  <c r="L71" i="1"/>
  <c r="L74" i="1" s="1"/>
  <c r="L24" i="3" s="1"/>
  <c r="X60" i="1"/>
  <c r="X40" i="6" s="1"/>
  <c r="X71" i="1"/>
  <c r="X74" i="1" s="1"/>
  <c r="X24" i="3" s="1"/>
  <c r="N62" i="1"/>
  <c r="N63" i="1" s="1"/>
  <c r="O41" i="6" s="1"/>
  <c r="O64" i="1"/>
  <c r="M60" i="1"/>
  <c r="M40" i="6" s="1"/>
  <c r="M42" i="6" s="1"/>
  <c r="M43" i="6" s="1"/>
  <c r="M63" i="1"/>
  <c r="N41" i="6" s="1"/>
  <c r="N60" i="1"/>
  <c r="N40" i="6" s="1"/>
  <c r="N42" i="6" s="1"/>
  <c r="O60" i="1"/>
  <c r="O40" i="6" s="1"/>
  <c r="O42" i="6" s="1"/>
  <c r="P60" i="1"/>
  <c r="P40" i="6" s="1"/>
  <c r="Q60" i="1"/>
  <c r="Q40" i="6" s="1"/>
  <c r="R60" i="1"/>
  <c r="R40" i="6" s="1"/>
  <c r="S60" i="1"/>
  <c r="S40" i="6" s="1"/>
  <c r="T60" i="1"/>
  <c r="T40" i="6" s="1"/>
  <c r="U60" i="1"/>
  <c r="U40" i="6" s="1"/>
  <c r="V60" i="1"/>
  <c r="V40" i="6" s="1"/>
  <c r="W60" i="1"/>
  <c r="W40" i="6" s="1"/>
  <c r="W24" i="1"/>
  <c r="W10" i="6"/>
  <c r="X24" i="1"/>
  <c r="X10" i="6"/>
  <c r="V24" i="1"/>
  <c r="V10" i="6"/>
  <c r="U24" i="1"/>
  <c r="U10" i="6"/>
  <c r="T24" i="1"/>
  <c r="T10" i="6"/>
  <c r="S24" i="1"/>
  <c r="S10" i="6"/>
  <c r="R24" i="1"/>
  <c r="R10" i="6"/>
  <c r="Q24" i="1"/>
  <c r="Q10" i="6"/>
  <c r="P24" i="1"/>
  <c r="P10" i="6"/>
  <c r="O24" i="1"/>
  <c r="O10" i="6"/>
  <c r="N24" i="1"/>
  <c r="N10" i="6"/>
  <c r="M24" i="1"/>
  <c r="M10" i="6"/>
  <c r="L24" i="1"/>
  <c r="L10" i="6"/>
  <c r="L22" i="6"/>
  <c r="L23" i="6" s="1"/>
  <c r="L46" i="1"/>
  <c r="M22" i="6"/>
  <c r="M23" i="6" s="1"/>
  <c r="M46" i="1"/>
  <c r="N22" i="6"/>
  <c r="N23" i="6" s="1"/>
  <c r="N46" i="1"/>
  <c r="O22" i="6"/>
  <c r="O23" i="6" s="1"/>
  <c r="O46" i="1"/>
  <c r="P22" i="6"/>
  <c r="P23" i="6" s="1"/>
  <c r="P46" i="1"/>
  <c r="Q22" i="6"/>
  <c r="Q23" i="6" s="1"/>
  <c r="Q46" i="1"/>
  <c r="R22" i="6"/>
  <c r="R23" i="6" s="1"/>
  <c r="R46" i="1"/>
  <c r="S22" i="6"/>
  <c r="S23" i="6" s="1"/>
  <c r="S46" i="1"/>
  <c r="T22" i="6"/>
  <c r="T23" i="6" s="1"/>
  <c r="T46" i="1"/>
  <c r="U22" i="6"/>
  <c r="U23" i="6" s="1"/>
  <c r="U46" i="1"/>
  <c r="V22" i="6"/>
  <c r="V23" i="6" s="1"/>
  <c r="V46" i="1"/>
  <c r="X22" i="6"/>
  <c r="X23" i="6" s="1"/>
  <c r="X46" i="1"/>
  <c r="W22" i="6"/>
  <c r="W23" i="6" s="1"/>
  <c r="W46" i="1"/>
  <c r="L16" i="6" l="1"/>
  <c r="N27" i="6" s="1"/>
  <c r="L10" i="3"/>
  <c r="L11" i="3" s="1"/>
  <c r="M9" i="5"/>
  <c r="M23" i="5" s="1"/>
  <c r="M16" i="6"/>
  <c r="O27" i="6" s="1"/>
  <c r="M10" i="3"/>
  <c r="M11" i="3" s="1"/>
  <c r="N9" i="5"/>
  <c r="N23" i="5" s="1"/>
  <c r="N16" i="6"/>
  <c r="P27" i="6" s="1"/>
  <c r="N10" i="3"/>
  <c r="N11" i="3" s="1"/>
  <c r="O9" i="5"/>
  <c r="O23" i="5" s="1"/>
  <c r="O16" i="6"/>
  <c r="Q27" i="6" s="1"/>
  <c r="O10" i="3"/>
  <c r="O11" i="3" s="1"/>
  <c r="P9" i="5"/>
  <c r="P23" i="5" s="1"/>
  <c r="P16" i="6"/>
  <c r="R27" i="6" s="1"/>
  <c r="P10" i="3"/>
  <c r="P11" i="3" s="1"/>
  <c r="Q9" i="5"/>
  <c r="Q23" i="5" s="1"/>
  <c r="Q16" i="6"/>
  <c r="S27" i="6" s="1"/>
  <c r="Q10" i="3"/>
  <c r="Q11" i="3" s="1"/>
  <c r="R9" i="5"/>
  <c r="R23" i="5" s="1"/>
  <c r="R16" i="6"/>
  <c r="T27" i="6" s="1"/>
  <c r="R10" i="3"/>
  <c r="R11" i="3" s="1"/>
  <c r="S9" i="5"/>
  <c r="S23" i="5" s="1"/>
  <c r="S16" i="6"/>
  <c r="U27" i="6" s="1"/>
  <c r="S10" i="3"/>
  <c r="S11" i="3" s="1"/>
  <c r="T9" i="5"/>
  <c r="T23" i="5" s="1"/>
  <c r="T16" i="6"/>
  <c r="V27" i="6" s="1"/>
  <c r="T10" i="3"/>
  <c r="T11" i="3" s="1"/>
  <c r="U9" i="5"/>
  <c r="U23" i="5" s="1"/>
  <c r="U16" i="6"/>
  <c r="U10" i="3"/>
  <c r="U11" i="3" s="1"/>
  <c r="V9" i="5"/>
  <c r="V23" i="5" s="1"/>
  <c r="V16" i="6"/>
  <c r="V10" i="3"/>
  <c r="V11" i="3" s="1"/>
  <c r="W9" i="5"/>
  <c r="W23" i="5" s="1"/>
  <c r="X16" i="6"/>
  <c r="X10" i="3"/>
  <c r="X11" i="3" s="1"/>
  <c r="Y9" i="5"/>
  <c r="Y23" i="5" s="1"/>
  <c r="W16" i="6"/>
  <c r="W10" i="3"/>
  <c r="W11" i="3" s="1"/>
  <c r="X9" i="5"/>
  <c r="X23" i="5" s="1"/>
  <c r="O43" i="6"/>
  <c r="M26" i="3"/>
  <c r="N43" i="6"/>
  <c r="L26" i="3"/>
  <c r="O30" i="5"/>
  <c r="N25" i="3" s="1"/>
  <c r="P30" i="5"/>
  <c r="O25" i="3" s="1"/>
  <c r="Q30" i="5"/>
  <c r="P25" i="3" s="1"/>
  <c r="R30" i="5"/>
  <c r="Q25" i="3" s="1"/>
  <c r="S30" i="5"/>
  <c r="R25" i="3" s="1"/>
  <c r="T30" i="5"/>
  <c r="S25" i="3" s="1"/>
  <c r="U30" i="5"/>
  <c r="T25" i="3" s="1"/>
  <c r="V30" i="5"/>
  <c r="U25" i="3" s="1"/>
  <c r="W30" i="5"/>
  <c r="V25" i="3" s="1"/>
  <c r="X30" i="5"/>
  <c r="W25" i="3" s="1"/>
  <c r="Y30" i="5"/>
  <c r="X25" i="3" s="1"/>
  <c r="N47" i="6"/>
  <c r="L73" i="1"/>
  <c r="O62" i="1"/>
  <c r="O63" i="1" s="1"/>
  <c r="P41" i="6" s="1"/>
  <c r="P42" i="6" s="1"/>
  <c r="P64" i="1"/>
  <c r="P43" i="6" l="1"/>
  <c r="N26" i="3"/>
  <c r="W14" i="3"/>
  <c r="W12" i="3"/>
  <c r="X14" i="3"/>
  <c r="X12" i="3"/>
  <c r="V14" i="3"/>
  <c r="V12" i="3"/>
  <c r="U14" i="3"/>
  <c r="U12" i="3"/>
  <c r="T14" i="3"/>
  <c r="T12" i="3"/>
  <c r="S14" i="3"/>
  <c r="S12" i="3"/>
  <c r="R14" i="3"/>
  <c r="R12" i="3"/>
  <c r="Q14" i="3"/>
  <c r="Q12" i="3"/>
  <c r="P14" i="3"/>
  <c r="P12" i="3"/>
  <c r="O14" i="3"/>
  <c r="O12" i="3"/>
  <c r="N14" i="3"/>
  <c r="N12" i="3"/>
  <c r="M14" i="3"/>
  <c r="M12" i="3"/>
  <c r="L14" i="3"/>
  <c r="L12" i="3"/>
  <c r="N46" i="6"/>
  <c r="M73" i="1"/>
  <c r="P62" i="1"/>
  <c r="P63" i="1" s="1"/>
  <c r="Q41" i="6" s="1"/>
  <c r="Q42" i="6" s="1"/>
  <c r="Q64" i="1"/>
  <c r="Q43" i="6" l="1"/>
  <c r="O26" i="3"/>
  <c r="L17" i="3"/>
  <c r="L15" i="3"/>
  <c r="M17" i="3"/>
  <c r="M15" i="3"/>
  <c r="N17" i="3"/>
  <c r="N15" i="3"/>
  <c r="O17" i="3"/>
  <c r="O15" i="3"/>
  <c r="P17" i="3"/>
  <c r="P15" i="3"/>
  <c r="Q17" i="3"/>
  <c r="Q15" i="3"/>
  <c r="R17" i="3"/>
  <c r="R15" i="3"/>
  <c r="S17" i="3"/>
  <c r="S15" i="3"/>
  <c r="T17" i="3"/>
  <c r="T15" i="3"/>
  <c r="U17" i="3"/>
  <c r="U15" i="3"/>
  <c r="V17" i="3"/>
  <c r="V15" i="3"/>
  <c r="X17" i="3"/>
  <c r="X15" i="3"/>
  <c r="W17" i="3"/>
  <c r="W15" i="3"/>
  <c r="O46" i="6"/>
  <c r="N73" i="1"/>
  <c r="Q62" i="1"/>
  <c r="Q63" i="1" s="1"/>
  <c r="R41" i="6" s="1"/>
  <c r="R42" i="6" s="1"/>
  <c r="R64" i="1"/>
  <c r="R43" i="6" l="1"/>
  <c r="P26" i="3"/>
  <c r="W20" i="3"/>
  <c r="W21" i="3"/>
  <c r="W27" i="3" s="1"/>
  <c r="W34" i="3" s="1"/>
  <c r="W18" i="3"/>
  <c r="X20" i="3"/>
  <c r="X21" i="3"/>
  <c r="X27" i="3" s="1"/>
  <c r="X18" i="3"/>
  <c r="V20" i="3"/>
  <c r="V21" i="3"/>
  <c r="V18" i="3"/>
  <c r="U20" i="3"/>
  <c r="U21" i="3"/>
  <c r="U18" i="3"/>
  <c r="T20" i="3"/>
  <c r="T21" i="3"/>
  <c r="T18" i="3"/>
  <c r="S20" i="3"/>
  <c r="S21" i="3"/>
  <c r="S18" i="3"/>
  <c r="R20" i="3"/>
  <c r="R21" i="3"/>
  <c r="R18" i="3"/>
  <c r="Q20" i="3"/>
  <c r="Q21" i="3"/>
  <c r="Q18" i="3"/>
  <c r="P20" i="3"/>
  <c r="P21" i="3"/>
  <c r="P27" i="3" s="1"/>
  <c r="P34" i="3" s="1"/>
  <c r="P18" i="3"/>
  <c r="O20" i="3"/>
  <c r="O21" i="3"/>
  <c r="O27" i="3" s="1"/>
  <c r="O34" i="3" s="1"/>
  <c r="O18" i="3"/>
  <c r="N20" i="3"/>
  <c r="N21" i="3"/>
  <c r="N27" i="3" s="1"/>
  <c r="N34" i="3" s="1"/>
  <c r="N18" i="3"/>
  <c r="M20" i="3"/>
  <c r="M21" i="3"/>
  <c r="M27" i="3" s="1"/>
  <c r="M34" i="3" s="1"/>
  <c r="M18" i="3"/>
  <c r="L20" i="3"/>
  <c r="L21" i="3"/>
  <c r="L27" i="3" s="1"/>
  <c r="L34" i="3" s="1"/>
  <c r="L18" i="3"/>
  <c r="P46" i="6"/>
  <c r="O73" i="1"/>
  <c r="R62" i="1"/>
  <c r="R63" i="1" s="1"/>
  <c r="S41" i="6" s="1"/>
  <c r="S42" i="6" s="1"/>
  <c r="S64" i="1"/>
  <c r="S43" i="6" l="1"/>
  <c r="Q26" i="3"/>
  <c r="Q27" i="3"/>
  <c r="Q34" i="3" s="1"/>
  <c r="X28" i="3"/>
  <c r="X35" i="3" s="1"/>
  <c r="C46" i="3" s="1"/>
  <c r="X34" i="3"/>
  <c r="Q46" i="6"/>
  <c r="P73" i="1"/>
  <c r="S62" i="1"/>
  <c r="S63" i="1" s="1"/>
  <c r="T41" i="6" s="1"/>
  <c r="T42" i="6" s="1"/>
  <c r="T64" i="1"/>
  <c r="T43" i="6" l="1"/>
  <c r="R26" i="3"/>
  <c r="R27" i="3" s="1"/>
  <c r="R34" i="3" s="1"/>
  <c r="R46" i="6"/>
  <c r="Q73" i="1"/>
  <c r="T62" i="1"/>
  <c r="T63" i="1" s="1"/>
  <c r="U41" i="6" s="1"/>
  <c r="U42" i="6" s="1"/>
  <c r="U64" i="1"/>
  <c r="U43" i="6" l="1"/>
  <c r="S26" i="3"/>
  <c r="S27" i="3" s="1"/>
  <c r="S34" i="3" s="1"/>
  <c r="S46" i="6"/>
  <c r="R73" i="1"/>
  <c r="U62" i="1"/>
  <c r="U63" i="1" s="1"/>
  <c r="V41" i="6" s="1"/>
  <c r="V42" i="6" s="1"/>
  <c r="V64" i="1"/>
  <c r="V43" i="6" l="1"/>
  <c r="T26" i="3"/>
  <c r="T27" i="3" s="1"/>
  <c r="T34" i="3" s="1"/>
  <c r="T46" i="6"/>
  <c r="S73" i="1"/>
  <c r="V62" i="1"/>
  <c r="V63" i="1" s="1"/>
  <c r="W41" i="6" s="1"/>
  <c r="W42" i="6" s="1"/>
  <c r="W64" i="1"/>
  <c r="W43" i="6" l="1"/>
  <c r="U26" i="3"/>
  <c r="U27" i="3" s="1"/>
  <c r="U34" i="3" s="1"/>
  <c r="U46" i="6"/>
  <c r="T73" i="1"/>
  <c r="W62" i="1"/>
  <c r="W63" i="1" s="1"/>
  <c r="X41" i="6" s="1"/>
  <c r="X42" i="6" s="1"/>
  <c r="X64" i="1"/>
  <c r="X62" i="1" s="1"/>
  <c r="X63" i="1" s="1"/>
  <c r="X43" i="6" l="1"/>
  <c r="V26" i="3"/>
  <c r="V27" i="3" s="1"/>
  <c r="V34" i="3" s="1"/>
  <c r="C45" i="3" s="1"/>
  <c r="V46" i="6"/>
  <c r="U73" i="1"/>
  <c r="C47" i="3" l="1"/>
  <c r="E45" i="3" s="1"/>
  <c r="W46" i="6"/>
  <c r="V73" i="1"/>
  <c r="C50" i="3" l="1"/>
  <c r="C51" i="3" s="1"/>
  <c r="I23" i="4" s="1"/>
  <c r="B26" i="4" s="1"/>
  <c r="E47" i="3"/>
  <c r="E46" i="3"/>
  <c r="X46" i="6"/>
  <c r="W73" i="1"/>
  <c r="X73" i="1" s="1"/>
  <c r="E51" i="3" l="1"/>
  <c r="E53" i="3" s="1"/>
</calcChain>
</file>

<file path=xl/sharedStrings.xml><?xml version="1.0" encoding="utf-8"?>
<sst xmlns="http://schemas.openxmlformats.org/spreadsheetml/2006/main" count="522" uniqueCount="298">
  <si>
    <t>Modelo de Valuación Financiera</t>
  </si>
  <si>
    <t>Southern Copper Corporacion</t>
  </si>
  <si>
    <t>Julio 14, 2025</t>
  </si>
  <si>
    <t>Equipo: Valuers B20</t>
  </si>
  <si>
    <t>Carlos Caballero Reyes</t>
  </si>
  <si>
    <t>Tatiana Rodas Espinoza</t>
  </si>
  <si>
    <t>SOUTHERN COPPER COORPORATION</t>
  </si>
  <si>
    <t>Supuestos</t>
  </si>
  <si>
    <t>Supuestos de Industria y Macroeconomia</t>
  </si>
  <si>
    <t>[Unidad]</t>
  </si>
  <si>
    <t>Fuente</t>
  </si>
  <si>
    <t>Inflación EE,UU,</t>
  </si>
  <si>
    <t>%</t>
  </si>
  <si>
    <t>FED</t>
  </si>
  <si>
    <t xml:space="preserve">1,3% </t>
  </si>
  <si>
    <t xml:space="preserve">4,7% </t>
  </si>
  <si>
    <t xml:space="preserve">8,0% </t>
  </si>
  <si>
    <t xml:space="preserve">4,1% </t>
  </si>
  <si>
    <t xml:space="preserve">2,6% </t>
  </si>
  <si>
    <t xml:space="preserve">2,8% </t>
  </si>
  <si>
    <t xml:space="preserve">2,4% </t>
  </si>
  <si>
    <t xml:space="preserve">2,2% </t>
  </si>
  <si>
    <t xml:space="preserve">2,1% </t>
  </si>
  <si>
    <t>PBI Real de EE,UU,</t>
  </si>
  <si>
    <t xml:space="preserve">-2,8% </t>
  </si>
  <si>
    <t xml:space="preserve">6,0% </t>
  </si>
  <si>
    <t xml:space="preserve">1,6% </t>
  </si>
  <si>
    <t xml:space="preserve">1,1% </t>
  </si>
  <si>
    <t xml:space="preserve">1,8% </t>
  </si>
  <si>
    <t>Tasa de Impuesto efectivo</t>
  </si>
  <si>
    <t>SCCO</t>
  </si>
  <si>
    <t>Tasa de variacion del precio promedio del cobre</t>
  </si>
  <si>
    <t>LME</t>
  </si>
  <si>
    <t xml:space="preserve">2,9% </t>
  </si>
  <si>
    <t>Tasa de crecimiento de producción de cobre mundial</t>
  </si>
  <si>
    <t>USGV</t>
  </si>
  <si>
    <t xml:space="preserve">3,0% </t>
  </si>
  <si>
    <t xml:space="preserve">1,9% </t>
  </si>
  <si>
    <t xml:space="preserve">4,8% </t>
  </si>
  <si>
    <t xml:space="preserve">2,7% </t>
  </si>
  <si>
    <t xml:space="preserve">3,4% </t>
  </si>
  <si>
    <t>Tasa de crecimiento del sector mineria en EE,UU,</t>
  </si>
  <si>
    <t>Trading Economics</t>
  </si>
  <si>
    <t xml:space="preserve">-2,5% </t>
  </si>
  <si>
    <t xml:space="preserve">-8,8% </t>
  </si>
  <si>
    <t xml:space="preserve">-9,3% </t>
  </si>
  <si>
    <t xml:space="preserve">33,6% </t>
  </si>
  <si>
    <t xml:space="preserve">1,0% </t>
  </si>
  <si>
    <t xml:space="preserve">2,3% </t>
  </si>
  <si>
    <t xml:space="preserve">1,7% </t>
  </si>
  <si>
    <t xml:space="preserve">1,4% </t>
  </si>
  <si>
    <t xml:space="preserve">3,5% </t>
  </si>
  <si>
    <t>Supuestos de Estado de Resultados</t>
  </si>
  <si>
    <t>A) Ingresos</t>
  </si>
  <si>
    <t>Ingresos</t>
  </si>
  <si>
    <t>Millones USD</t>
  </si>
  <si>
    <t>YoY</t>
  </si>
  <si>
    <t>B) Costos</t>
  </si>
  <si>
    <t>Costos Totales</t>
  </si>
  <si>
    <t>Power</t>
  </si>
  <si>
    <t xml:space="preserve">  % de Ingresos</t>
  </si>
  <si>
    <t>Labor</t>
  </si>
  <si>
    <t>Fuel</t>
  </si>
  <si>
    <t>Maintenance</t>
  </si>
  <si>
    <t>Operating material</t>
  </si>
  <si>
    <t xml:space="preserve"> % de Inflación</t>
  </si>
  <si>
    <t>Others</t>
  </si>
  <si>
    <t>C) Opex</t>
  </si>
  <si>
    <t>Opex</t>
  </si>
  <si>
    <t>Selling, general and administrative (SGA)</t>
  </si>
  <si>
    <t>D) Capex, depreciación y amortización</t>
  </si>
  <si>
    <t>1, Capex</t>
  </si>
  <si>
    <t>Capex</t>
  </si>
  <si>
    <t>Activos fijos sin contar depreciación</t>
  </si>
  <si>
    <t>Incremento de activos</t>
  </si>
  <si>
    <t>% de ingresos</t>
  </si>
  <si>
    <t>Intangibles sin contar amortización</t>
  </si>
  <si>
    <t>Incremento de intangibles</t>
  </si>
  <si>
    <t>Activos por derecho de uso</t>
  </si>
  <si>
    <t>2, Activos Fijos</t>
  </si>
  <si>
    <t>Propiedad, planta y equipo, bruto</t>
  </si>
  <si>
    <t>Depreciación acumulada PPE</t>
  </si>
  <si>
    <t>Depreciación</t>
  </si>
  <si>
    <t>Vida útil</t>
  </si>
  <si>
    <t>Ventas proyectadas</t>
  </si>
  <si>
    <t>Ventas</t>
  </si>
  <si>
    <t>Ingreso por ventas</t>
  </si>
  <si>
    <t>Growth Y/Y</t>
  </si>
  <si>
    <t>Producción (Refinado)</t>
  </si>
  <si>
    <t>1. Copper</t>
  </si>
  <si>
    <t>Copper (no refinado)</t>
  </si>
  <si>
    <t>Toquepala</t>
  </si>
  <si>
    <t>miles de lb.</t>
  </si>
  <si>
    <t>Cuajone</t>
  </si>
  <si>
    <t>La Caridad</t>
  </si>
  <si>
    <t>Buenavista</t>
  </si>
  <si>
    <t>IMMSA unit</t>
  </si>
  <si>
    <t>Proyecto Michiquillay</t>
  </si>
  <si>
    <t>Proyecto Chancas</t>
  </si>
  <si>
    <t>Copper (refinado)</t>
  </si>
  <si>
    <t>Peru open pit</t>
  </si>
  <si>
    <t>Cathode-Ilo</t>
  </si>
  <si>
    <t>SX-EW Toquepala</t>
  </si>
  <si>
    <t>Mexico open-pit</t>
  </si>
  <si>
    <t>Cathode-La Caridad</t>
  </si>
  <si>
    <t>SX-EW La Caridad</t>
  </si>
  <si>
    <t>SX-EW Lbuenavista</t>
  </si>
  <si>
    <t>2. Silver</t>
  </si>
  <si>
    <t>Silver (no refinado)</t>
  </si>
  <si>
    <t>miles de oz.</t>
  </si>
  <si>
    <t xml:space="preserve">Silver </t>
  </si>
  <si>
    <t>Nuevos proyectos</t>
  </si>
  <si>
    <t>Silver (refinado)</t>
  </si>
  <si>
    <t>Peru- Ilo</t>
  </si>
  <si>
    <t>Mexico-LaCaridad</t>
  </si>
  <si>
    <t>prod silver as % de prod copper</t>
  </si>
  <si>
    <t>3. Molibdeno</t>
  </si>
  <si>
    <t>Molibdeno</t>
  </si>
  <si>
    <t>4. Zinc</t>
  </si>
  <si>
    <t>Zinc (no refinado)</t>
  </si>
  <si>
    <t>Zinc (refinado)</t>
  </si>
  <si>
    <t>Refined IMMSA</t>
  </si>
  <si>
    <t>Precios</t>
  </si>
  <si>
    <t>Copper</t>
  </si>
  <si>
    <t>$/lb.</t>
  </si>
  <si>
    <t>Sillver</t>
  </si>
  <si>
    <t>$/oz.</t>
  </si>
  <si>
    <t>COMEX</t>
  </si>
  <si>
    <t>Dealer Ox, Platt's metal</t>
  </si>
  <si>
    <t>Zinc</t>
  </si>
  <si>
    <t>Estados Financieros</t>
  </si>
  <si>
    <t>Estado de Resultados (en millones de dólares)</t>
  </si>
  <si>
    <t>Ingresos operativos</t>
  </si>
  <si>
    <t> </t>
  </si>
  <si>
    <t>Total de ingresos operativos</t>
  </si>
  <si>
    <t>Costos y Gastos Operativos</t>
  </si>
  <si>
    <t>Costos Operativos, excluyendo depreciación, amortización y acrecentamiento</t>
  </si>
  <si>
    <t>Gastos generales y administrativos</t>
  </si>
  <si>
    <t>Depreciación, amortización y acrecentamiento</t>
  </si>
  <si>
    <t>Costos de desarrollo (exploración)</t>
  </si>
  <si>
    <t>Total de costos y gastos operativos</t>
  </si>
  <si>
    <t>Utilidad operativa</t>
  </si>
  <si>
    <t>Gastos por intereses</t>
  </si>
  <si>
    <t>Intereses capitalizados</t>
  </si>
  <si>
    <t>Otros ingresos (gastos)</t>
  </si>
  <si>
    <t>Ingresos por intereses</t>
  </si>
  <si>
    <t>Total de otros gastos netos</t>
  </si>
  <si>
    <t>Utilidad antes de impuestos</t>
  </si>
  <si>
    <t>Impuesto a la renta (incluidos los impuestos sobre regalías)</t>
  </si>
  <si>
    <t>Impuestos sobre la renta diferidos</t>
  </si>
  <si>
    <t>Utilidad neta antes de ganancias de capital de la filial</t>
  </si>
  <si>
    <t>Utilidades patrimoniales de la filial, netas de impuesto sobre la renta</t>
  </si>
  <si>
    <t>Utilidad neta</t>
  </si>
  <si>
    <t>Utilidad neta atribuible a la participación no controladora</t>
  </si>
  <si>
    <t>Utilidad neta atribuible a SCCO</t>
  </si>
  <si>
    <t>BALANCE GENERAL (en millones de dólares)</t>
  </si>
  <si>
    <t>ACTIVOS</t>
  </si>
  <si>
    <t xml:space="preserve">Activos Corrientes </t>
  </si>
  <si>
    <t xml:space="preserve">Efectivo y equivalentes de efectivo </t>
  </si>
  <si>
    <t>Inversiones a corto plazo</t>
  </si>
  <si>
    <t>Cuentas por cobrar comerciales</t>
  </si>
  <si>
    <t>Cuentas por cobrar otras (incluyendo partes relacionadas)</t>
  </si>
  <si>
    <t>Inventario</t>
  </si>
  <si>
    <t>Impuestos prepagados</t>
  </si>
  <si>
    <t>Otros activos corrientes</t>
  </si>
  <si>
    <t>Total activo corriente</t>
  </si>
  <si>
    <t>Activo No Corriente</t>
  </si>
  <si>
    <t>Desarrollo de propiedades y minas, neto</t>
  </si>
  <si>
    <t>Reservas de mineral en plataformas de lixiviación</t>
  </si>
  <si>
    <t>Activos intangibles, netos</t>
  </si>
  <si>
    <t>Impuesto sobre la renta diferido</t>
  </si>
  <si>
    <t>Inversión por el método de participación</t>
  </si>
  <si>
    <t>Otros activos no corrientes</t>
  </si>
  <si>
    <t>Total activo no corriente</t>
  </si>
  <si>
    <t>Total Activos</t>
  </si>
  <si>
    <t>PASIVO Y PATRIMONIO, NETO</t>
  </si>
  <si>
    <t>Pasivo Corriente</t>
  </si>
  <si>
    <t>Parte corriente de la deuda a largo plazo</t>
  </si>
  <si>
    <t xml:space="preserve">- </t>
  </si>
  <si>
    <t>Cuentas por pagar (incluyendo partes relacionadas)</t>
  </si>
  <si>
    <t>Impuestos sobre la renta acumulados</t>
  </si>
  <si>
    <t>Participación acumulada de los trabajadores</t>
  </si>
  <si>
    <t>Interés acumulado</t>
  </si>
  <si>
    <t>Pasivos por arrendamiento corrientes</t>
  </si>
  <si>
    <t>Otros pasivos acumulados</t>
  </si>
  <si>
    <t>Total pasivos corrientes</t>
  </si>
  <si>
    <t>Pasivo no Corriente</t>
  </si>
  <si>
    <t>Deuda a largo plazo, neta de la parte corriente</t>
  </si>
  <si>
    <t>Pasivos por arrendamiento</t>
  </si>
  <si>
    <t>Impuestos no corrientes a pagar</t>
  </si>
  <si>
    <t>Otros pasivos y reservas</t>
  </si>
  <si>
    <t>Obligación de retiro de activos</t>
  </si>
  <si>
    <t>Total pasivos no corrientes</t>
  </si>
  <si>
    <t>Total pasivos</t>
  </si>
  <si>
    <t>Patrimonio</t>
  </si>
  <si>
    <t>Valor nominal de las acciones ordinarias $0.01; acciones autorizadas; acciones emitidas</t>
  </si>
  <si>
    <t>Capital desembolsado adicional</t>
  </si>
  <si>
    <t>Utilidades retenidas</t>
  </si>
  <si>
    <t>Otro resultado integral acumulado</t>
  </si>
  <si>
    <t>Acciones en tesorería, al costo, acciones ordinarias</t>
  </si>
  <si>
    <t>Patrimonio total de los accionistas de SCCO</t>
  </si>
  <si>
    <t>Interés no controlador</t>
  </si>
  <si>
    <t>Patrimonio total</t>
  </si>
  <si>
    <t>Total Pasivos y Patrimonio</t>
  </si>
  <si>
    <t>Discount Cash Flow</t>
  </si>
  <si>
    <t>DCF</t>
  </si>
  <si>
    <t>Revenues</t>
  </si>
  <si>
    <t>COGS</t>
  </si>
  <si>
    <t>Gross Profit</t>
  </si>
  <si>
    <t>Gross Mg.</t>
  </si>
  <si>
    <t>EBIT</t>
  </si>
  <si>
    <t>EBIT Mg.</t>
  </si>
  <si>
    <t>Adjusted EBIT</t>
  </si>
  <si>
    <t>Adjusted EBIT Mg.</t>
  </si>
  <si>
    <t>Taxes</t>
  </si>
  <si>
    <t>NOPAT</t>
  </si>
  <si>
    <t>Depreciation &amp; Amortization</t>
  </si>
  <si>
    <t>+/- Var. Working capital</t>
  </si>
  <si>
    <t>Free Cash Flows</t>
  </si>
  <si>
    <t>Terminal Value</t>
  </si>
  <si>
    <t>Periods</t>
  </si>
  <si>
    <t>Discount factor</t>
  </si>
  <si>
    <t>Discounted Cash Flows</t>
  </si>
  <si>
    <t>Discounted Terminal Value</t>
  </si>
  <si>
    <t>Valuation</t>
  </si>
  <si>
    <t>Valor</t>
  </si>
  <si>
    <t>Shares</t>
  </si>
  <si>
    <t>Growth (g)</t>
  </si>
  <si>
    <t>WACC</t>
  </si>
  <si>
    <t xml:space="preserve"> </t>
  </si>
  <si>
    <t>USD M</t>
  </si>
  <si>
    <t>Enterprise Value (Jul, 14, 2025)</t>
  </si>
  <si>
    <t>Cash and equivalents</t>
  </si>
  <si>
    <t>Debt</t>
  </si>
  <si>
    <t>Equity Value (Jul, 14, 2025)</t>
  </si>
  <si>
    <t>Valor fundamental</t>
  </si>
  <si>
    <t>Valor de acción</t>
  </si>
  <si>
    <t>Resultado</t>
  </si>
  <si>
    <t>Costo promedio ponderado del Capital (WACC)</t>
  </si>
  <si>
    <t>CAPM</t>
  </si>
  <si>
    <t>10 años</t>
  </si>
  <si>
    <t>Source</t>
  </si>
  <si>
    <t>Risk free (Rf)</t>
  </si>
  <si>
    <t>U.S. Department of the Treasury
del Tesoro-USA - 30 años</t>
  </si>
  <si>
    <t>Market Risk Premium ( E(Rm)-Rf)</t>
  </si>
  <si>
    <t>Damodaran</t>
  </si>
  <si>
    <t>Leveraged Beta (β)</t>
  </si>
  <si>
    <t>Cálculo</t>
  </si>
  <si>
    <t>Unleveraged Beta</t>
  </si>
  <si>
    <t>Deuda/Equity</t>
  </si>
  <si>
    <t xml:space="preserve">Deuda </t>
  </si>
  <si>
    <t>Equity</t>
  </si>
  <si>
    <t xml:space="preserve">Riesgo País </t>
  </si>
  <si>
    <t>Ke = Rf + β(E(Rm)- Rf) + Rp</t>
  </si>
  <si>
    <t>Kd before taxes</t>
  </si>
  <si>
    <t>Costo de deuda corporativa - Largo Plazo</t>
  </si>
  <si>
    <t>Effective tax rate</t>
  </si>
  <si>
    <t>Kd after taxes</t>
  </si>
  <si>
    <t>Análisis de Sensibilidad</t>
  </si>
  <si>
    <t>Variación =</t>
  </si>
  <si>
    <t>Working capital</t>
  </si>
  <si>
    <t>Total Revenues</t>
  </si>
  <si>
    <t>Total Costs</t>
  </si>
  <si>
    <t>Total Current assets</t>
  </si>
  <si>
    <t>Trade accounts receivable, net</t>
  </si>
  <si>
    <t>as % of Income</t>
  </si>
  <si>
    <t>Inventories, net</t>
  </si>
  <si>
    <t>Total Current liabilities</t>
  </si>
  <si>
    <t>Accounts payable to related parties</t>
  </si>
  <si>
    <t>Days -Total Current assets</t>
  </si>
  <si>
    <t>Days</t>
  </si>
  <si>
    <t>Days -Total Current liabilities</t>
  </si>
  <si>
    <t>Operating Working Capital</t>
  </si>
  <si>
    <t>Var. WK</t>
  </si>
  <si>
    <t>Inventarios = (PMI/365)*Costos</t>
  </si>
  <si>
    <t>Cuentas por cobrar= (PMC/365)*Ingresos</t>
  </si>
  <si>
    <t>Cuentas por pagar = (PMP/365)*Ingresos</t>
  </si>
  <si>
    <t>PMI=(Inventarios/Costos)*365</t>
  </si>
  <si>
    <t>PMC=(Cuentas por cobrar/Ingresos)*365</t>
  </si>
  <si>
    <t>PMP=(Cuentas por pagar/Ingresos)*365</t>
  </si>
  <si>
    <t>Costos</t>
  </si>
  <si>
    <t>A) Costos</t>
  </si>
  <si>
    <t>B) Opex</t>
  </si>
  <si>
    <t>C) Cash cost</t>
  </si>
  <si>
    <t>Total operating cash cost before by product revenues</t>
  </si>
  <si>
    <t>Total by product revenues</t>
  </si>
  <si>
    <t>Total operating cash cost net by product revenues</t>
  </si>
  <si>
    <t>Total pounds of copper produced</t>
  </si>
  <si>
    <t>Operating cash cost per pound before by product revenues</t>
  </si>
  <si>
    <t>B) Capex</t>
  </si>
  <si>
    <t>Activos fijos</t>
  </si>
  <si>
    <t>Intangible</t>
  </si>
  <si>
    <t>Total Capex</t>
  </si>
  <si>
    <t>Depreciación acumulada</t>
  </si>
  <si>
    <t>Depreciacion</t>
  </si>
  <si>
    <t>P.O.</t>
  </si>
  <si>
    <t>g =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</si>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</sst>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[$$-409]* #,##0.00_ ;_-[$$-409]* \-#,##0.00\ ;_-[$$-409]* &quot;-&quot;??_ ;_-@_ "/>
    <numFmt numFmtId="165" formatCode="0.000%"/>
    <numFmt numFmtId="166" formatCode="_-* #,##0_-;\-* #,##0_-;_-* &quot;-&quot;??_-;_-@_-"/>
    <numFmt numFmtId="167" formatCode="_-* #,##0.0_-;\-* #,##0.0_-;_-* &quot;-&quot;??_-;_-@_-"/>
    <numFmt numFmtId="168" formatCode="_-[$$-409]* #,##0_ ;_-[$$-409]* \-#,##0\ ;_-[$$-409]* &quot;-&quot;??_ ;_-@_ "/>
    <numFmt numFmtId="169" formatCode="_-* #,##0.000_-;\-* #,##0.000_-;_-* &quot;-&quot;??_-;_-@_-"/>
    <numFmt numFmtId="170" formatCode="0.0%"/>
  </numFmts>
  <fonts count="4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theme="1"/>
      <name val="Aptos Display"/>
      <scheme val="major"/>
    </font>
    <font>
      <b/>
      <sz val="11"/>
      <color rgb="FFFFFFFF"/>
      <name val="Aptos Display"/>
      <scheme val="major"/>
    </font>
    <font>
      <b/>
      <sz val="11"/>
      <color theme="0"/>
      <name val="Aptos Display"/>
      <scheme val="maj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i/>
      <sz val="11"/>
      <color theme="1"/>
      <name val="Aptos Narrow"/>
      <family val="2"/>
      <scheme val="minor"/>
    </font>
    <font>
      <sz val="11"/>
      <color rgb="FF212529"/>
      <name val="Aptos Narrow"/>
      <scheme val="minor"/>
    </font>
    <font>
      <u/>
      <sz val="11"/>
      <color theme="1"/>
      <name val="Aptos Narrow"/>
      <family val="2"/>
      <scheme val="minor"/>
    </font>
    <font>
      <sz val="10"/>
      <color rgb="FF000000"/>
      <name val="Times New Roman"/>
      <charset val="1"/>
    </font>
    <font>
      <sz val="16"/>
      <color rgb="FF000000"/>
      <name val="Times New Roman"/>
      <charset val="1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595959"/>
      <name val="Calibri"/>
      <family val="2"/>
    </font>
    <font>
      <i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40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FFFFFF"/>
      <name val="Arial"/>
    </font>
    <font>
      <sz val="32"/>
      <color theme="0"/>
      <name val="Aptos Narrow"/>
      <family val="2"/>
      <scheme val="minor"/>
    </font>
    <font>
      <b/>
      <sz val="36"/>
      <color rgb="FFFFFFFF"/>
      <name val="Arial"/>
      <family val="2"/>
    </font>
    <font>
      <sz val="12"/>
      <color rgb="FFFFFFFF"/>
      <name val="Arial"/>
      <family val="2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6"/>
      <color theme="7" tint="0.79998168889431442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C1E3E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D0CECE"/>
        <bgColor rgb="FFD0CECE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60A0"/>
        <bgColor rgb="FF000000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tted">
        <color theme="0" tint="-4.9989318521683403E-2"/>
      </left>
      <right style="dotted">
        <color theme="0" tint="-4.9989318521683403E-2"/>
      </right>
      <top style="dotted">
        <color theme="0" tint="-4.9989318521683403E-2"/>
      </top>
      <bottom style="dotted">
        <color theme="0" tint="-4.9989318521683403E-2"/>
      </bottom>
      <diagonal/>
    </border>
    <border>
      <left style="double">
        <color theme="4" tint="-0.249977111117893"/>
      </left>
      <right/>
      <top style="double">
        <color theme="4" tint="-0.249977111117893"/>
      </top>
      <bottom/>
      <diagonal/>
    </border>
    <border>
      <left/>
      <right/>
      <top style="double">
        <color theme="4" tint="-0.249977111117893"/>
      </top>
      <bottom/>
      <diagonal/>
    </border>
    <border>
      <left/>
      <right style="double">
        <color theme="4" tint="-0.249977111117893"/>
      </right>
      <top style="double">
        <color theme="4" tint="-0.249977111117893"/>
      </top>
      <bottom/>
      <diagonal/>
    </border>
    <border>
      <left style="double">
        <color theme="4" tint="-0.249977111117893"/>
      </left>
      <right/>
      <top/>
      <bottom/>
      <diagonal/>
    </border>
    <border>
      <left/>
      <right style="double">
        <color theme="4" tint="-0.249977111117893"/>
      </right>
      <top/>
      <bottom/>
      <diagonal/>
    </border>
    <border>
      <left style="double">
        <color theme="4" tint="-0.249977111117893"/>
      </left>
      <right/>
      <top/>
      <bottom style="double">
        <color theme="4" tint="-0.249977111117893"/>
      </bottom>
      <diagonal/>
    </border>
    <border>
      <left/>
      <right/>
      <top/>
      <bottom style="double">
        <color theme="4" tint="-0.249977111117893"/>
      </bottom>
      <diagonal/>
    </border>
    <border>
      <left/>
      <right style="double">
        <color theme="4" tint="-0.249977111117893"/>
      </right>
      <top/>
      <bottom style="double">
        <color theme="4" tint="-0.249977111117893"/>
      </bottom>
      <diagonal/>
    </border>
    <border>
      <left/>
      <right style="dotted">
        <color theme="0" tint="-4.9989318521683403E-2"/>
      </right>
      <top style="dotted">
        <color theme="0" tint="-4.9989318521683403E-2"/>
      </top>
      <bottom style="dotted">
        <color theme="0" tint="-4.9989318521683403E-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2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9" fontId="0" fillId="0" borderId="0" xfId="0" applyNumberFormat="1"/>
    <xf numFmtId="10" fontId="0" fillId="0" borderId="0" xfId="0" applyNumberFormat="1"/>
    <xf numFmtId="0" fontId="10" fillId="0" borderId="0" xfId="0" applyFont="1"/>
    <xf numFmtId="0" fontId="9" fillId="2" borderId="0" xfId="0" applyFont="1" applyFill="1"/>
    <xf numFmtId="0" fontId="11" fillId="0" borderId="0" xfId="0" applyFont="1"/>
    <xf numFmtId="0" fontId="13" fillId="0" borderId="0" xfId="0" applyFont="1"/>
    <xf numFmtId="10" fontId="10" fillId="0" borderId="0" xfId="0" applyNumberFormat="1" applyFont="1"/>
    <xf numFmtId="10" fontId="13" fillId="4" borderId="0" xfId="0" applyNumberFormat="1" applyFont="1" applyFill="1"/>
    <xf numFmtId="10" fontId="9" fillId="2" borderId="0" xfId="0" applyNumberFormat="1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4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indent="1"/>
    </xf>
    <xf numFmtId="10" fontId="14" fillId="0" borderId="0" xfId="0" applyNumberFormat="1" applyFont="1"/>
    <xf numFmtId="0" fontId="0" fillId="5" borderId="0" xfId="0" applyFill="1"/>
    <xf numFmtId="0" fontId="0" fillId="5" borderId="0" xfId="0" applyFill="1" applyAlignment="1">
      <alignment horizontal="center"/>
    </xf>
    <xf numFmtId="0" fontId="14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168" fontId="0" fillId="0" borderId="0" xfId="0" applyNumberFormat="1"/>
    <xf numFmtId="166" fontId="0" fillId="5" borderId="0" xfId="0" applyNumberFormat="1" applyFill="1"/>
    <xf numFmtId="1" fontId="0" fillId="0" borderId="0" xfId="0" applyNumberFormat="1"/>
    <xf numFmtId="165" fontId="0" fillId="0" borderId="0" xfId="0" applyNumberFormat="1"/>
    <xf numFmtId="9" fontId="14" fillId="0" borderId="0" xfId="0" applyNumberFormat="1" applyFont="1"/>
    <xf numFmtId="0" fontId="16" fillId="0" borderId="0" xfId="0" applyFont="1" applyAlignment="1">
      <alignment horizontal="left" indent="1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wrapText="1"/>
    </xf>
    <xf numFmtId="0" fontId="0" fillId="7" borderId="0" xfId="0" applyFill="1" applyAlignment="1">
      <alignment horizontal="center"/>
    </xf>
    <xf numFmtId="0" fontId="0" fillId="7" borderId="0" xfId="0" applyFill="1"/>
    <xf numFmtId="4" fontId="17" fillId="0" borderId="0" xfId="0" applyNumberFormat="1" applyFont="1"/>
    <xf numFmtId="0" fontId="17" fillId="0" borderId="0" xfId="0" applyFont="1"/>
    <xf numFmtId="0" fontId="18" fillId="0" borderId="0" xfId="0" applyFont="1"/>
    <xf numFmtId="0" fontId="0" fillId="8" borderId="0" xfId="0" applyFill="1"/>
    <xf numFmtId="0" fontId="0" fillId="8" borderId="0" xfId="0" applyFill="1" applyAlignment="1">
      <alignment horizontal="center"/>
    </xf>
    <xf numFmtId="1" fontId="0" fillId="8" borderId="0" xfId="0" applyNumberFormat="1" applyFill="1"/>
    <xf numFmtId="0" fontId="0" fillId="8" borderId="0" xfId="0" applyFill="1" applyAlignment="1">
      <alignment horizontal="left" indent="1"/>
    </xf>
    <xf numFmtId="0" fontId="14" fillId="8" borderId="0" xfId="0" applyFont="1" applyFill="1"/>
    <xf numFmtId="0" fontId="14" fillId="8" borderId="0" xfId="0" applyFont="1" applyFill="1" applyAlignment="1">
      <alignment horizontal="center"/>
    </xf>
    <xf numFmtId="9" fontId="14" fillId="8" borderId="0" xfId="0" applyNumberFormat="1" applyFont="1" applyFill="1"/>
    <xf numFmtId="1" fontId="0" fillId="8" borderId="3" xfId="0" applyNumberFormat="1" applyFill="1" applyBorder="1"/>
    <xf numFmtId="167" fontId="0" fillId="0" borderId="0" xfId="0" applyNumberFormat="1"/>
    <xf numFmtId="167" fontId="15" fillId="0" borderId="0" xfId="0" applyNumberFormat="1" applyFont="1"/>
    <xf numFmtId="166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168" fontId="4" fillId="0" borderId="0" xfId="0" applyNumberFormat="1" applyFont="1" applyAlignment="1">
      <alignment horizontal="left"/>
    </xf>
    <xf numFmtId="164" fontId="4" fillId="0" borderId="0" xfId="0" applyNumberFormat="1" applyFont="1"/>
    <xf numFmtId="164" fontId="0" fillId="0" borderId="0" xfId="0" applyNumberFormat="1" applyAlignment="1">
      <alignment horizontal="right"/>
    </xf>
    <xf numFmtId="168" fontId="4" fillId="0" borderId="0" xfId="0" applyNumberFormat="1" applyFont="1"/>
    <xf numFmtId="164" fontId="5" fillId="0" borderId="0" xfId="0" applyNumberFormat="1" applyFont="1"/>
    <xf numFmtId="0" fontId="19" fillId="0" borderId="0" xfId="0" applyFont="1"/>
    <xf numFmtId="1" fontId="16" fillId="7" borderId="0" xfId="0" applyNumberFormat="1" applyFont="1" applyFill="1"/>
    <xf numFmtId="0" fontId="0" fillId="5" borderId="0" xfId="0" applyFill="1" applyAlignment="1">
      <alignment horizontal="left"/>
    </xf>
    <xf numFmtId="1" fontId="0" fillId="5" borderId="0" xfId="0" applyNumberFormat="1" applyFill="1"/>
    <xf numFmtId="9" fontId="20" fillId="0" borderId="0" xfId="0" applyNumberFormat="1" applyFont="1"/>
    <xf numFmtId="0" fontId="16" fillId="0" borderId="0" xfId="0" applyFont="1"/>
    <xf numFmtId="0" fontId="16" fillId="5" borderId="0" xfId="0" applyFont="1" applyFill="1"/>
    <xf numFmtId="0" fontId="16" fillId="5" borderId="0" xfId="0" applyFont="1" applyFill="1" applyAlignment="1">
      <alignment horizontal="center" wrapText="1"/>
    </xf>
    <xf numFmtId="1" fontId="16" fillId="5" borderId="0" xfId="0" applyNumberFormat="1" applyFont="1" applyFill="1"/>
    <xf numFmtId="0" fontId="16" fillId="5" borderId="0" xfId="0" applyFont="1" applyFill="1" applyAlignment="1">
      <alignment horizontal="center"/>
    </xf>
    <xf numFmtId="166" fontId="16" fillId="5" borderId="0" xfId="0" applyNumberFormat="1" applyFont="1" applyFill="1"/>
    <xf numFmtId="0" fontId="21" fillId="0" borderId="0" xfId="0" applyFont="1"/>
    <xf numFmtId="9" fontId="22" fillId="0" borderId="0" xfId="0" applyNumberFormat="1" applyFont="1"/>
    <xf numFmtId="43" fontId="0" fillId="0" borderId="0" xfId="0" applyNumberFormat="1"/>
    <xf numFmtId="0" fontId="14" fillId="0" borderId="0" xfId="0" applyFont="1" applyAlignment="1">
      <alignment horizontal="right"/>
    </xf>
    <xf numFmtId="9" fontId="14" fillId="0" borderId="0" xfId="0" applyNumberFormat="1" applyFont="1" applyAlignment="1">
      <alignment horizontal="right"/>
    </xf>
    <xf numFmtId="0" fontId="2" fillId="9" borderId="0" xfId="0" applyFont="1" applyFill="1"/>
    <xf numFmtId="0" fontId="12" fillId="0" borderId="0" xfId="0" applyFont="1"/>
    <xf numFmtId="0" fontId="23" fillId="0" borderId="0" xfId="0" applyFont="1"/>
    <xf numFmtId="0" fontId="2" fillId="9" borderId="0" xfId="0" applyFont="1" applyFill="1" applyAlignment="1">
      <alignment wrapText="1"/>
    </xf>
    <xf numFmtId="0" fontId="11" fillId="0" borderId="0" xfId="0" applyFont="1" applyAlignment="1">
      <alignment wrapText="1"/>
    </xf>
    <xf numFmtId="168" fontId="8" fillId="3" borderId="0" xfId="0" applyNumberFormat="1" applyFont="1" applyFill="1"/>
    <xf numFmtId="0" fontId="11" fillId="0" borderId="0" xfId="0" applyFont="1" applyAlignment="1">
      <alignment horizontal="left" indent="1"/>
    </xf>
    <xf numFmtId="0" fontId="20" fillId="0" borderId="0" xfId="0" applyFont="1"/>
    <xf numFmtId="0" fontId="24" fillId="0" borderId="0" xfId="0" applyFont="1" applyAlignment="1">
      <alignment horizontal="left" indent="1"/>
    </xf>
    <xf numFmtId="0" fontId="24" fillId="0" borderId="0" xfId="0" applyFont="1"/>
    <xf numFmtId="9" fontId="24" fillId="0" borderId="0" xfId="0" applyNumberFormat="1" applyFont="1"/>
    <xf numFmtId="0" fontId="12" fillId="5" borderId="0" xfId="0" applyFont="1" applyFill="1"/>
    <xf numFmtId="0" fontId="11" fillId="5" borderId="0" xfId="0" applyFont="1" applyFill="1"/>
    <xf numFmtId="0" fontId="11" fillId="5" borderId="0" xfId="0" applyFont="1" applyFill="1" applyAlignment="1">
      <alignment wrapText="1"/>
    </xf>
    <xf numFmtId="0" fontId="20" fillId="5" borderId="0" xfId="0" applyFont="1" applyFill="1"/>
    <xf numFmtId="0" fontId="23" fillId="5" borderId="0" xfId="0" applyFont="1" applyFill="1"/>
    <xf numFmtId="0" fontId="25" fillId="0" borderId="0" xfId="0" applyFont="1"/>
    <xf numFmtId="168" fontId="11" fillId="5" borderId="0" xfId="0" applyNumberFormat="1" applyFont="1" applyFill="1"/>
    <xf numFmtId="168" fontId="11" fillId="0" borderId="0" xfId="0" applyNumberFormat="1" applyFont="1"/>
    <xf numFmtId="0" fontId="0" fillId="10" borderId="0" xfId="0" applyFill="1"/>
    <xf numFmtId="0" fontId="0" fillId="10" borderId="4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29" fillId="10" borderId="0" xfId="0" applyFont="1" applyFill="1"/>
    <xf numFmtId="0" fontId="30" fillId="10" borderId="0" xfId="0" applyFont="1" applyFill="1" applyAlignment="1">
      <alignment vertical="center"/>
    </xf>
    <xf numFmtId="0" fontId="26" fillId="10" borderId="0" xfId="0" applyFont="1" applyFill="1" applyAlignment="1">
      <alignment horizontal="left" wrapText="1"/>
    </xf>
    <xf numFmtId="0" fontId="27" fillId="10" borderId="0" xfId="0" applyFont="1" applyFill="1" applyAlignment="1">
      <alignment horizontal="left" wrapText="1"/>
    </xf>
    <xf numFmtId="15" fontId="28" fillId="10" borderId="0" xfId="0" applyNumberFormat="1" applyFont="1" applyFill="1" applyAlignment="1">
      <alignment wrapText="1"/>
    </xf>
    <xf numFmtId="0" fontId="0" fillId="10" borderId="9" xfId="0" applyFill="1" applyBorder="1"/>
    <xf numFmtId="0" fontId="0" fillId="10" borderId="10" xfId="0" applyFill="1" applyBorder="1"/>
    <xf numFmtId="0" fontId="0" fillId="10" borderId="11" xfId="0" applyFill="1" applyBorder="1"/>
    <xf numFmtId="0" fontId="33" fillId="10" borderId="10" xfId="0" applyFont="1" applyFill="1" applyBorder="1"/>
    <xf numFmtId="0" fontId="32" fillId="10" borderId="10" xfId="0" applyFont="1" applyFill="1" applyBorder="1"/>
    <xf numFmtId="0" fontId="3" fillId="10" borderId="0" xfId="0" applyFont="1" applyFill="1" applyAlignment="1">
      <alignment horizontal="left" indent="1"/>
    </xf>
    <xf numFmtId="0" fontId="34" fillId="10" borderId="0" xfId="0" applyFont="1" applyFill="1"/>
    <xf numFmtId="0" fontId="34" fillId="10" borderId="7" xfId="0" applyFont="1" applyFill="1" applyBorder="1"/>
    <xf numFmtId="0" fontId="34" fillId="10" borderId="0" xfId="0" applyFont="1" applyFill="1" applyAlignment="1">
      <alignment horizontal="left" vertical="center"/>
    </xf>
    <xf numFmtId="0" fontId="34" fillId="10" borderId="8" xfId="0" applyFont="1" applyFill="1" applyBorder="1"/>
    <xf numFmtId="49" fontId="31" fillId="10" borderId="0" xfId="0" applyNumberFormat="1" applyFont="1" applyFill="1" applyAlignment="1">
      <alignment horizontal="left" vertical="center"/>
    </xf>
    <xf numFmtId="0" fontId="35" fillId="0" borderId="0" xfId="0" applyFont="1"/>
    <xf numFmtId="0" fontId="36" fillId="0" borderId="0" xfId="0" applyFont="1"/>
    <xf numFmtId="49" fontId="35" fillId="0" borderId="0" xfId="0" applyNumberFormat="1" applyFont="1" applyAlignment="1">
      <alignment horizontal="left"/>
    </xf>
    <xf numFmtId="1" fontId="0" fillId="8" borderId="12" xfId="0" applyNumberFormat="1" applyFill="1" applyBorder="1"/>
    <xf numFmtId="0" fontId="2" fillId="0" borderId="0" xfId="0" applyFont="1"/>
    <xf numFmtId="0" fontId="3" fillId="0" borderId="0" xfId="0" applyFont="1"/>
    <xf numFmtId="0" fontId="8" fillId="0" borderId="0" xfId="0" applyFont="1"/>
    <xf numFmtId="4" fontId="0" fillId="0" borderId="0" xfId="0" applyNumberFormat="1"/>
    <xf numFmtId="0" fontId="13" fillId="4" borderId="0" xfId="0" applyFont="1" applyFill="1"/>
    <xf numFmtId="0" fontId="1" fillId="0" borderId="0" xfId="1" applyBorder="1" applyAlignment="1"/>
    <xf numFmtId="0" fontId="11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168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/>
    <xf numFmtId="168" fontId="4" fillId="0" borderId="0" xfId="0" applyNumberFormat="1" applyFont="1" applyAlignment="1">
      <alignment wrapText="1"/>
    </xf>
    <xf numFmtId="0" fontId="37" fillId="5" borderId="0" xfId="0" applyFont="1" applyFill="1"/>
    <xf numFmtId="0" fontId="37" fillId="5" borderId="0" xfId="0" applyFont="1" applyFill="1" applyAlignment="1">
      <alignment horizontal="center"/>
    </xf>
    <xf numFmtId="0" fontId="37" fillId="0" borderId="0" xfId="0" applyFont="1"/>
    <xf numFmtId="0" fontId="24" fillId="0" borderId="2" xfId="0" applyFont="1" applyBorder="1" applyAlignment="1">
      <alignment horizontal="center"/>
    </xf>
    <xf numFmtId="0" fontId="20" fillId="0" borderId="2" xfId="0" applyFont="1" applyBorder="1"/>
    <xf numFmtId="0" fontId="38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left" indent="1"/>
    </xf>
    <xf numFmtId="168" fontId="20" fillId="0" borderId="0" xfId="0" applyNumberFormat="1" applyFont="1"/>
    <xf numFmtId="0" fontId="22" fillId="0" borderId="0" xfId="0" applyFont="1"/>
    <xf numFmtId="0" fontId="37" fillId="0" borderId="0" xfId="0" applyFont="1" applyAlignment="1">
      <alignment horizontal="left" indent="1"/>
    </xf>
    <xf numFmtId="9" fontId="0" fillId="0" borderId="0" xfId="0" applyNumberFormat="1" applyAlignment="1">
      <alignment horizontal="center"/>
    </xf>
    <xf numFmtId="10" fontId="0" fillId="0" borderId="2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right"/>
    </xf>
    <xf numFmtId="10" fontId="39" fillId="0" borderId="0" xfId="0" applyNumberFormat="1" applyFont="1"/>
    <xf numFmtId="10" fontId="40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164" fontId="20" fillId="0" borderId="0" xfId="0" applyNumberFormat="1" applyFont="1"/>
    <xf numFmtId="170" fontId="10" fillId="0" borderId="0" xfId="3" applyNumberFormat="1" applyFont="1"/>
    <xf numFmtId="10" fontId="0" fillId="0" borderId="0" xfId="3" applyNumberFormat="1" applyFont="1"/>
    <xf numFmtId="170" fontId="10" fillId="0" borderId="0" xfId="0" applyNumberFormat="1" applyFont="1"/>
    <xf numFmtId="43" fontId="0" fillId="0" borderId="0" xfId="2" applyFont="1" applyAlignment="1">
      <alignment wrapText="1"/>
    </xf>
    <xf numFmtId="43" fontId="0" fillId="0" borderId="0" xfId="2" applyFont="1"/>
    <xf numFmtId="10" fontId="42" fillId="0" borderId="2" xfId="0" applyNumberFormat="1" applyFont="1" applyBorder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">
    <cellStyle name="Hyperlink" xfId="1" xr:uid="{00000000-000B-0000-0000-000008000000}"/>
    <cellStyle name="Millares" xfId="2" builtinId="3"/>
    <cellStyle name="Normal" xfId="0" builtinId="0"/>
    <cellStyle name="Porcentaje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home.treasury.gov/resource-center/data-chart-center/interest-rates/TextView?type=daily_treasury_yield_curve&amp;field_tdr_date_value=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E20D-9D0F-4B9D-AB21-91A8621D3EDF}">
  <dimension ref="B2:U23"/>
  <sheetViews>
    <sheetView showGridLines="0" workbookViewId="0">
      <selection activeCell="P5" sqref="P5"/>
    </sheetView>
  </sheetViews>
  <sheetFormatPr baseColWidth="10" defaultColWidth="9.109375" defaultRowHeight="30" customHeight="1" x14ac:dyDescent="0.3"/>
  <cols>
    <col min="1" max="1" width="9.109375" style="105"/>
    <col min="2" max="2" width="3.88671875" style="105" customWidth="1"/>
    <col min="3" max="3" width="14" style="105" customWidth="1"/>
    <col min="4" max="12" width="9.109375" style="105"/>
    <col min="13" max="13" width="21" style="105" bestFit="1" customWidth="1"/>
    <col min="14" max="20" width="9.109375" style="105"/>
    <col min="21" max="21" width="3.88671875" style="105" customWidth="1"/>
    <col min="22" max="16384" width="9.109375" style="105"/>
  </cols>
  <sheetData>
    <row r="2" spans="2:21" ht="18" customHeight="1" x14ac:dyDescent="0.3">
      <c r="B2" s="106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8"/>
    </row>
    <row r="3" spans="2:21" s="122" customFormat="1" ht="31.5" customHeight="1" x14ac:dyDescent="0.65">
      <c r="B3" s="123"/>
      <c r="C3" s="124" t="s">
        <v>0</v>
      </c>
      <c r="U3" s="125"/>
    </row>
    <row r="4" spans="2:21" ht="9" customHeight="1" x14ac:dyDescent="0.85">
      <c r="B4" s="109"/>
      <c r="C4" s="111"/>
      <c r="U4" s="110"/>
    </row>
    <row r="5" spans="2:21" ht="55.5" customHeight="1" x14ac:dyDescent="0.3">
      <c r="B5" s="109"/>
      <c r="C5" s="112" t="s">
        <v>1</v>
      </c>
      <c r="U5" s="110"/>
    </row>
    <row r="6" spans="2:21" ht="10.5" customHeight="1" x14ac:dyDescent="0.85">
      <c r="B6" s="109"/>
      <c r="C6" s="113"/>
      <c r="U6" s="110"/>
    </row>
    <row r="7" spans="2:21" ht="20.25" customHeight="1" x14ac:dyDescent="0.3">
      <c r="B7" s="109"/>
      <c r="C7" s="126" t="s">
        <v>2</v>
      </c>
      <c r="U7" s="110"/>
    </row>
    <row r="8" spans="2:21" ht="20.25" customHeight="1" x14ac:dyDescent="0.3">
      <c r="B8" s="109"/>
      <c r="C8" s="114"/>
      <c r="U8" s="110"/>
    </row>
    <row r="9" spans="2:21" ht="20.25" customHeight="1" x14ac:dyDescent="0.3">
      <c r="B9" s="109"/>
      <c r="C9" s="115"/>
      <c r="U9" s="110"/>
    </row>
    <row r="10" spans="2:21" ht="20.25" customHeight="1" x14ac:dyDescent="0.3">
      <c r="B10" s="109"/>
      <c r="U10" s="110"/>
    </row>
    <row r="11" spans="2:21" ht="20.25" customHeight="1" x14ac:dyDescent="0.4">
      <c r="B11" s="109"/>
      <c r="M11" s="119" t="s">
        <v>3</v>
      </c>
      <c r="N11" s="120"/>
      <c r="O11" s="117"/>
      <c r="P11" s="117"/>
      <c r="U11" s="110"/>
    </row>
    <row r="12" spans="2:21" ht="20.25" customHeight="1" x14ac:dyDescent="0.3">
      <c r="B12" s="109"/>
      <c r="M12" s="121" t="s">
        <v>4</v>
      </c>
      <c r="U12" s="110"/>
    </row>
    <row r="13" spans="2:21" ht="20.25" customHeight="1" x14ac:dyDescent="0.3">
      <c r="B13" s="109"/>
      <c r="M13" s="121" t="s">
        <v>5</v>
      </c>
      <c r="U13" s="110"/>
    </row>
    <row r="14" spans="2:21" ht="20.25" customHeight="1" x14ac:dyDescent="0.3">
      <c r="B14" s="109"/>
      <c r="M14" s="121"/>
      <c r="U14" s="110"/>
    </row>
    <row r="15" spans="2:21" ht="20.25" customHeight="1" x14ac:dyDescent="0.3">
      <c r="B15" s="109"/>
      <c r="M15" s="121"/>
      <c r="U15" s="110"/>
    </row>
    <row r="16" spans="2:21" ht="20.25" customHeight="1" x14ac:dyDescent="0.3">
      <c r="B16" s="109"/>
      <c r="M16" s="121"/>
      <c r="U16" s="110"/>
    </row>
    <row r="17" spans="2:21" ht="20.25" customHeight="1" x14ac:dyDescent="0.3">
      <c r="B17" s="116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8"/>
    </row>
    <row r="18" spans="2:21" ht="20.25" customHeight="1" x14ac:dyDescent="0.3"/>
    <row r="19" spans="2:21" ht="20.25" customHeight="1" x14ac:dyDescent="0.3"/>
    <row r="20" spans="2:21" ht="20.25" customHeight="1" x14ac:dyDescent="0.3"/>
    <row r="21" spans="2:21" ht="20.25" customHeight="1" x14ac:dyDescent="0.3"/>
    <row r="22" spans="2:21" ht="14.25" customHeight="1" x14ac:dyDescent="0.3"/>
    <row r="23" spans="2:21" ht="29.2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76"/>
  <sheetViews>
    <sheetView showGridLines="0" workbookViewId="0">
      <selection activeCell="K10" sqref="K10"/>
    </sheetView>
  </sheetViews>
  <sheetFormatPr baseColWidth="10" defaultColWidth="8.88671875" defaultRowHeight="14.4" x14ac:dyDescent="0.3"/>
  <cols>
    <col min="1" max="1" width="8.109375" customWidth="1"/>
    <col min="2" max="2" width="49" customWidth="1"/>
    <col min="3" max="3" width="15.109375" style="6" customWidth="1"/>
    <col min="4" max="4" width="17" style="6" bestFit="1" customWidth="1"/>
    <col min="5" max="5" width="5.109375" customWidth="1"/>
    <col min="6" max="6" width="5.6640625" customWidth="1"/>
    <col min="7" max="7" width="11.6640625" bestFit="1" customWidth="1"/>
    <col min="8" max="9" width="12.6640625" bestFit="1" customWidth="1"/>
    <col min="10" max="10" width="11.6640625" bestFit="1" customWidth="1"/>
    <col min="11" max="24" width="12.6640625" bestFit="1" customWidth="1"/>
    <col min="25" max="25" width="2.5546875" customWidth="1"/>
    <col min="26" max="26" width="9.109375"/>
  </cols>
  <sheetData>
    <row r="2" spans="2:24" ht="15.6" x14ac:dyDescent="0.3">
      <c r="B2" s="128" t="s">
        <v>6</v>
      </c>
    </row>
    <row r="3" spans="2:24" ht="15.6" x14ac:dyDescent="0.3">
      <c r="B3" s="129" t="s">
        <v>2</v>
      </c>
    </row>
    <row r="4" spans="2:24" ht="15.6" x14ac:dyDescent="0.3">
      <c r="B4" s="127" t="s">
        <v>7</v>
      </c>
      <c r="G4" s="2">
        <v>2020</v>
      </c>
      <c r="H4" s="2">
        <v>2021</v>
      </c>
      <c r="I4" s="2">
        <v>2022</v>
      </c>
      <c r="J4" s="2">
        <v>2023</v>
      </c>
      <c r="K4" s="2">
        <v>2024</v>
      </c>
      <c r="L4" s="2">
        <v>2025</v>
      </c>
      <c r="M4" s="2">
        <v>2026</v>
      </c>
      <c r="N4" s="2">
        <v>2027</v>
      </c>
      <c r="O4" s="2">
        <v>2028</v>
      </c>
      <c r="P4" s="2">
        <v>2029</v>
      </c>
      <c r="Q4" s="2">
        <v>2030</v>
      </c>
      <c r="R4" s="2">
        <v>2031</v>
      </c>
      <c r="S4" s="2">
        <v>2032</v>
      </c>
      <c r="T4" s="2">
        <v>2033</v>
      </c>
      <c r="U4" s="2">
        <v>2034</v>
      </c>
      <c r="V4" s="2">
        <v>2035</v>
      </c>
      <c r="W4" s="2">
        <v>2036</v>
      </c>
      <c r="X4" s="2">
        <v>2037</v>
      </c>
    </row>
    <row r="6" spans="2:24" x14ac:dyDescent="0.3">
      <c r="B6" s="3" t="s">
        <v>8</v>
      </c>
      <c r="C6" s="7" t="s">
        <v>9</v>
      </c>
      <c r="D6" s="7" t="s">
        <v>10</v>
      </c>
      <c r="E6" s="132"/>
      <c r="F6" s="13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8" spans="2:24" x14ac:dyDescent="0.3">
      <c r="B8" t="s">
        <v>11</v>
      </c>
      <c r="C8" s="6" t="s">
        <v>12</v>
      </c>
      <c r="D8" s="6" t="s">
        <v>13</v>
      </c>
      <c r="G8" s="141" t="s">
        <v>14</v>
      </c>
      <c r="H8" s="141" t="s">
        <v>15</v>
      </c>
      <c r="I8" s="141" t="s">
        <v>16</v>
      </c>
      <c r="J8" s="141" t="s">
        <v>17</v>
      </c>
      <c r="K8" s="141" t="s">
        <v>18</v>
      </c>
      <c r="L8" s="141" t="s">
        <v>19</v>
      </c>
      <c r="M8" s="141" t="s">
        <v>20</v>
      </c>
      <c r="N8" s="141" t="s">
        <v>21</v>
      </c>
      <c r="O8" s="141" t="s">
        <v>22</v>
      </c>
      <c r="P8" s="141" t="s">
        <v>22</v>
      </c>
      <c r="Q8" s="141" t="str">
        <f>+P8</f>
        <v xml:space="preserve">2,1% </v>
      </c>
      <c r="R8" s="141" t="str">
        <f t="shared" ref="R8:X8" si="0">+Q8</f>
        <v xml:space="preserve">2,1% </v>
      </c>
      <c r="S8" s="141" t="str">
        <f t="shared" si="0"/>
        <v xml:space="preserve">2,1% </v>
      </c>
      <c r="T8" s="141" t="str">
        <f t="shared" si="0"/>
        <v xml:space="preserve">2,1% </v>
      </c>
      <c r="U8" s="141" t="str">
        <f t="shared" si="0"/>
        <v xml:space="preserve">2,1% </v>
      </c>
      <c r="V8" s="141" t="str">
        <f t="shared" si="0"/>
        <v xml:space="preserve">2,1% </v>
      </c>
      <c r="W8" s="141" t="str">
        <f t="shared" si="0"/>
        <v xml:space="preserve">2,1% </v>
      </c>
      <c r="X8" s="141" t="str">
        <f t="shared" si="0"/>
        <v xml:space="preserve">2,1% </v>
      </c>
    </row>
    <row r="9" spans="2:24" x14ac:dyDescent="0.3">
      <c r="B9" t="s">
        <v>23</v>
      </c>
      <c r="C9" s="6" t="s">
        <v>12</v>
      </c>
      <c r="D9" s="6" t="s">
        <v>13</v>
      </c>
      <c r="G9" s="141" t="s">
        <v>24</v>
      </c>
      <c r="H9" s="141" t="s">
        <v>25</v>
      </c>
      <c r="I9" s="141" t="s">
        <v>22</v>
      </c>
      <c r="J9" s="141" t="s">
        <v>26</v>
      </c>
      <c r="K9" s="141" t="s">
        <v>19</v>
      </c>
      <c r="L9" s="141" t="s">
        <v>27</v>
      </c>
      <c r="M9" s="141" t="s">
        <v>28</v>
      </c>
      <c r="N9" s="141" t="s">
        <v>22</v>
      </c>
      <c r="O9" s="141" t="s">
        <v>22</v>
      </c>
      <c r="P9" s="141" t="s">
        <v>22</v>
      </c>
      <c r="Q9" s="141" t="str">
        <f t="shared" ref="Q9:X13" si="1">+P9</f>
        <v xml:space="preserve">2,1% </v>
      </c>
      <c r="R9" s="141" t="str">
        <f t="shared" si="1"/>
        <v xml:space="preserve">2,1% </v>
      </c>
      <c r="S9" s="141" t="str">
        <f t="shared" si="1"/>
        <v xml:space="preserve">2,1% </v>
      </c>
      <c r="T9" s="141" t="str">
        <f t="shared" si="1"/>
        <v xml:space="preserve">2,1% </v>
      </c>
      <c r="U9" s="141" t="str">
        <f t="shared" si="1"/>
        <v xml:space="preserve">2,1% </v>
      </c>
      <c r="V9" s="141" t="str">
        <f t="shared" si="1"/>
        <v xml:space="preserve">2,1% </v>
      </c>
      <c r="W9" s="141" t="str">
        <f t="shared" si="1"/>
        <v xml:space="preserve">2,1% </v>
      </c>
      <c r="X9" s="141" t="str">
        <f t="shared" si="1"/>
        <v xml:space="preserve">2,1% </v>
      </c>
    </row>
    <row r="10" spans="2:24" x14ac:dyDescent="0.3">
      <c r="B10" t="s">
        <v>29</v>
      </c>
      <c r="C10" s="6" t="s">
        <v>12</v>
      </c>
      <c r="D10" s="6" t="s">
        <v>30</v>
      </c>
      <c r="G10" s="161">
        <v>0.41489999999999999</v>
      </c>
      <c r="H10" s="161">
        <v>0.39839999999999998</v>
      </c>
      <c r="I10" s="161">
        <v>0.3649</v>
      </c>
      <c r="J10" s="161">
        <v>0.379</v>
      </c>
      <c r="K10" s="161">
        <v>0.3659</v>
      </c>
      <c r="L10" s="161">
        <f>+$K$10</f>
        <v>0.3659</v>
      </c>
      <c r="M10" s="161">
        <f t="shared" ref="M10:X10" si="2">+$K$10</f>
        <v>0.3659</v>
      </c>
      <c r="N10" s="161">
        <f t="shared" si="2"/>
        <v>0.3659</v>
      </c>
      <c r="O10" s="161">
        <f t="shared" si="2"/>
        <v>0.3659</v>
      </c>
      <c r="P10" s="161">
        <f t="shared" si="2"/>
        <v>0.3659</v>
      </c>
      <c r="Q10" s="161">
        <f t="shared" si="2"/>
        <v>0.3659</v>
      </c>
      <c r="R10" s="161">
        <f t="shared" si="2"/>
        <v>0.3659</v>
      </c>
      <c r="S10" s="161">
        <f t="shared" si="2"/>
        <v>0.3659</v>
      </c>
      <c r="T10" s="161">
        <f t="shared" si="2"/>
        <v>0.3659</v>
      </c>
      <c r="U10" s="161">
        <f t="shared" si="2"/>
        <v>0.3659</v>
      </c>
      <c r="V10" s="161">
        <f t="shared" si="2"/>
        <v>0.3659</v>
      </c>
      <c r="W10" s="161">
        <f t="shared" si="2"/>
        <v>0.3659</v>
      </c>
      <c r="X10" s="161">
        <f t="shared" si="2"/>
        <v>0.3659</v>
      </c>
    </row>
    <row r="11" spans="2:24" x14ac:dyDescent="0.3">
      <c r="B11" t="s">
        <v>31</v>
      </c>
      <c r="C11" s="6" t="s">
        <v>12</v>
      </c>
      <c r="D11" s="6" t="s">
        <v>32</v>
      </c>
      <c r="G11" s="141" t="s">
        <v>33</v>
      </c>
      <c r="H11" s="161">
        <f>+'Ventas proyectadas'!H73/'Ventas proyectadas'!G73-1</f>
        <v>0.5107142857142859</v>
      </c>
      <c r="I11" s="161">
        <f>+'Ventas proyectadas'!I73/'Ventas proyectadas'!H73-1</f>
        <v>-5.437352245862892E-2</v>
      </c>
      <c r="J11" s="161">
        <f>+'Ventas proyectadas'!J73/'Ventas proyectadas'!I73-1</f>
        <v>-3.7499999999999978E-2</v>
      </c>
      <c r="K11" s="161">
        <f>+'Ventas proyectadas'!K73/'Ventas proyectadas'!J73-1</f>
        <v>7.7922077922077948E-2</v>
      </c>
      <c r="L11" s="161">
        <f>+'Ventas proyectadas'!L73/'Ventas proyectadas'!K73-1</f>
        <v>0.20481927710843362</v>
      </c>
      <c r="M11" s="161">
        <f>+'Ventas proyectadas'!M73/'Ventas proyectadas'!L73-1</f>
        <v>-0.19900000000000007</v>
      </c>
      <c r="N11" s="161">
        <f>+'Ventas proyectadas'!N73/'Ventas proyectadas'!M73-1</f>
        <v>5.014565126924686E-2</v>
      </c>
      <c r="O11" s="161">
        <f>+'Ventas proyectadas'!O73/'Ventas proyectadas'!N73-1</f>
        <v>-9.57664619245846E-4</v>
      </c>
      <c r="P11" s="161">
        <f>+'Ventas proyectadas'!P73/'Ventas proyectadas'!O73-1</f>
        <v>8.0047157857623397E-3</v>
      </c>
      <c r="Q11" s="161">
        <f>+'Ventas proyectadas'!Q73/'Ventas proyectadas'!P73-1</f>
        <v>1.5167248726118743E-2</v>
      </c>
      <c r="R11" s="161">
        <f>+'Ventas proyectadas'!R73/'Ventas proyectadas'!Q73-1</f>
        <v>5.8019740799195585E-3</v>
      </c>
      <c r="S11" s="161">
        <f>+'Ventas proyectadas'!S73/'Ventas proyectadas'!R73-1</f>
        <v>-2.6028205315394848E-2</v>
      </c>
      <c r="T11" s="161">
        <f>+'Ventas proyectadas'!T73/'Ventas proyectadas'!S73-1</f>
        <v>8.1932968011533269E-3</v>
      </c>
      <c r="U11" s="161">
        <f>+'Ventas proyectadas'!U73/'Ventas proyectadas'!T73-1</f>
        <v>1.5989948875763105E-3</v>
      </c>
      <c r="V11" s="161">
        <f>+'Ventas proyectadas'!V73/'Ventas proyectadas'!U73-1</f>
        <v>2.0203429864431577E-3</v>
      </c>
      <c r="W11" s="161">
        <f>+'Ventas proyectadas'!W73/'Ventas proyectadas'!V73-1</f>
        <v>1.0370246458164534E-3</v>
      </c>
      <c r="X11" s="161">
        <f>+'Ventas proyectadas'!X73/'Ventas proyectadas'!W73-1</f>
        <v>-1.3009347887237288E-3</v>
      </c>
    </row>
    <row r="12" spans="2:24" x14ac:dyDescent="0.3">
      <c r="B12" t="s">
        <v>34</v>
      </c>
      <c r="C12" s="6" t="s">
        <v>12</v>
      </c>
      <c r="D12" s="6" t="s">
        <v>35</v>
      </c>
      <c r="G12" s="141" t="s">
        <v>36</v>
      </c>
      <c r="H12" s="141" t="s">
        <v>37</v>
      </c>
      <c r="I12" s="141" t="s">
        <v>38</v>
      </c>
      <c r="J12" s="141" t="s">
        <v>39</v>
      </c>
      <c r="K12" s="141" t="s">
        <v>28</v>
      </c>
      <c r="L12" s="141" t="s">
        <v>20</v>
      </c>
      <c r="M12" s="141" t="s">
        <v>18</v>
      </c>
      <c r="N12" s="141" t="s">
        <v>33</v>
      </c>
      <c r="O12" s="141" t="s">
        <v>18</v>
      </c>
      <c r="P12" s="141" t="s">
        <v>40</v>
      </c>
      <c r="Q12" s="141" t="str">
        <f t="shared" si="1"/>
        <v xml:space="preserve">3,4% </v>
      </c>
      <c r="R12" s="141" t="str">
        <f t="shared" si="1"/>
        <v xml:space="preserve">3,4% </v>
      </c>
      <c r="S12" s="141" t="str">
        <f t="shared" si="1"/>
        <v xml:space="preserve">3,4% </v>
      </c>
      <c r="T12" s="141" t="str">
        <f t="shared" si="1"/>
        <v xml:space="preserve">3,4% </v>
      </c>
      <c r="U12" s="141" t="str">
        <f t="shared" si="1"/>
        <v xml:space="preserve">3,4% </v>
      </c>
      <c r="V12" s="141" t="str">
        <f t="shared" si="1"/>
        <v xml:space="preserve">3,4% </v>
      </c>
      <c r="W12" s="141" t="str">
        <f t="shared" si="1"/>
        <v xml:space="preserve">3,4% </v>
      </c>
      <c r="X12" s="141" t="str">
        <f t="shared" si="1"/>
        <v xml:space="preserve">3,4% </v>
      </c>
    </row>
    <row r="13" spans="2:24" x14ac:dyDescent="0.3">
      <c r="B13" t="s">
        <v>41</v>
      </c>
      <c r="C13" s="6" t="s">
        <v>12</v>
      </c>
      <c r="D13" s="6" t="s">
        <v>42</v>
      </c>
      <c r="G13" s="141" t="s">
        <v>43</v>
      </c>
      <c r="H13" s="141" t="s">
        <v>44</v>
      </c>
      <c r="I13" s="141" t="s">
        <v>45</v>
      </c>
      <c r="J13" s="141" t="s">
        <v>46</v>
      </c>
      <c r="K13" s="141" t="s">
        <v>47</v>
      </c>
      <c r="L13" s="141" t="s">
        <v>48</v>
      </c>
      <c r="M13" s="141" t="s">
        <v>49</v>
      </c>
      <c r="N13" s="141" t="s">
        <v>39</v>
      </c>
      <c r="O13" s="141" t="s">
        <v>50</v>
      </c>
      <c r="P13" s="141" t="s">
        <v>51</v>
      </c>
      <c r="Q13" s="141" t="str">
        <f t="shared" si="1"/>
        <v xml:space="preserve">3,5% </v>
      </c>
      <c r="R13" s="141" t="str">
        <f t="shared" si="1"/>
        <v xml:space="preserve">3,5% </v>
      </c>
      <c r="S13" s="141" t="str">
        <f t="shared" si="1"/>
        <v xml:space="preserve">3,5% </v>
      </c>
      <c r="T13" s="141" t="str">
        <f t="shared" si="1"/>
        <v xml:space="preserve">3,5% </v>
      </c>
      <c r="U13" s="141" t="str">
        <f t="shared" si="1"/>
        <v xml:space="preserve">3,5% </v>
      </c>
      <c r="V13" s="141" t="str">
        <f t="shared" si="1"/>
        <v xml:space="preserve">3,5% </v>
      </c>
      <c r="W13" s="141" t="str">
        <f t="shared" si="1"/>
        <v xml:space="preserve">3,5% </v>
      </c>
      <c r="X13" s="141" t="str">
        <f t="shared" si="1"/>
        <v xml:space="preserve">3,5% </v>
      </c>
    </row>
    <row r="14" spans="2:24" x14ac:dyDescent="0.3">
      <c r="B14" s="1"/>
    </row>
    <row r="15" spans="2:24" x14ac:dyDescent="0.3">
      <c r="B15" s="4" t="s">
        <v>52</v>
      </c>
      <c r="C15" s="7"/>
      <c r="D15" s="7"/>
      <c r="E15" s="132"/>
      <c r="F15" s="13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2:24" x14ac:dyDescent="0.3">
      <c r="B16" s="1"/>
    </row>
    <row r="17" spans="2:24" x14ac:dyDescent="0.3">
      <c r="B17" s="44" t="s">
        <v>53</v>
      </c>
      <c r="C17" s="45" t="s">
        <v>9</v>
      </c>
      <c r="D17" s="45"/>
      <c r="E17" s="132"/>
      <c r="F17" s="132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9" spans="2:24" s="8" customFormat="1" x14ac:dyDescent="0.3">
      <c r="B19" s="8" t="s">
        <v>54</v>
      </c>
      <c r="C19" s="29" t="s">
        <v>55</v>
      </c>
      <c r="D19" s="29"/>
      <c r="G19" s="65">
        <f>+'Ventas proyectadas'!G7</f>
        <v>7984.9</v>
      </c>
      <c r="H19" s="65">
        <f>+'Ventas proyectadas'!H7</f>
        <v>10934.1</v>
      </c>
      <c r="I19" s="65">
        <f>+'Ventas proyectadas'!I7</f>
        <v>10047.9</v>
      </c>
      <c r="J19" s="65">
        <f>+'Ventas proyectadas'!J7</f>
        <v>9895.7999999999993</v>
      </c>
      <c r="K19" s="65">
        <f>+'Ventas proyectadas'!K7</f>
        <v>11433.4</v>
      </c>
      <c r="L19" s="65">
        <f>+'Ventas proyectadas'!L7</f>
        <v>13637.029854974791</v>
      </c>
      <c r="M19" s="65">
        <f>+'Ventas proyectadas'!M7</f>
        <v>11737.677177184823</v>
      </c>
      <c r="N19" s="65">
        <f>+'Ventas proyectadas'!N7</f>
        <v>13043.461593105216</v>
      </c>
      <c r="O19" s="65">
        <f>+'Ventas proyectadas'!O7</f>
        <v>13949.742270158935</v>
      </c>
      <c r="P19" s="65">
        <f>+'Ventas proyectadas'!P7</f>
        <v>15028.44837015606</v>
      </c>
      <c r="Q19" s="65">
        <f>+'Ventas proyectadas'!Q7</f>
        <v>17152.332344887218</v>
      </c>
      <c r="R19" s="65">
        <f>+'Ventas proyectadas'!R7</f>
        <v>17704.426150699062</v>
      </c>
      <c r="S19" s="65">
        <f>+'Ventas proyectadas'!S7</f>
        <v>31470.434462368823</v>
      </c>
      <c r="T19" s="65">
        <f>+'Ventas proyectadas'!T7</f>
        <v>32116.883567120291</v>
      </c>
      <c r="U19" s="65">
        <f>+'Ventas proyectadas'!U7</f>
        <v>32644.880139349756</v>
      </c>
      <c r="V19" s="65">
        <f>+'Ventas proyectadas'!V7</f>
        <v>33195.463499399179</v>
      </c>
      <c r="W19" s="65">
        <f>+'Ventas proyectadas'!W7</f>
        <v>33758.103306026365</v>
      </c>
      <c r="X19" s="65">
        <f>+'Ventas proyectadas'!X7</f>
        <v>34288.491400348466</v>
      </c>
    </row>
    <row r="20" spans="2:24" s="30" customFormat="1" x14ac:dyDescent="0.3">
      <c r="B20" s="30" t="s">
        <v>56</v>
      </c>
      <c r="C20" s="31" t="s">
        <v>12</v>
      </c>
      <c r="D20" s="31"/>
      <c r="G20" s="33">
        <f>+'Ventas proyectadas'!G8</f>
        <v>-0.26971830985915501</v>
      </c>
      <c r="H20" s="33">
        <f>+H19/G19-1</f>
        <v>0.36934714273190661</v>
      </c>
      <c r="I20" s="33">
        <f t="shared" ref="I20:X20" si="3">+I19/H19-1</f>
        <v>-8.1049194721101947E-2</v>
      </c>
      <c r="J20" s="33">
        <f t="shared" si="3"/>
        <v>-1.5137491416116866E-2</v>
      </c>
      <c r="K20" s="33">
        <f t="shared" si="3"/>
        <v>0.15537904969785177</v>
      </c>
      <c r="L20" s="33">
        <f t="shared" si="3"/>
        <v>0.19273618127370606</v>
      </c>
      <c r="M20" s="33">
        <f t="shared" si="3"/>
        <v>-0.13927905841586785</v>
      </c>
      <c r="N20" s="33">
        <f t="shared" si="3"/>
        <v>0.11124725924977041</v>
      </c>
      <c r="O20" s="33">
        <f t="shared" si="3"/>
        <v>6.9481607362019693E-2</v>
      </c>
      <c r="P20" s="33">
        <f t="shared" si="3"/>
        <v>7.7328030805606796E-2</v>
      </c>
      <c r="Q20" s="33">
        <f t="shared" si="3"/>
        <v>0.14132423537141925</v>
      </c>
      <c r="R20" s="33">
        <f t="shared" si="3"/>
        <v>3.2187681226711673E-2</v>
      </c>
      <c r="S20" s="33">
        <f t="shared" si="3"/>
        <v>0.77754614549459466</v>
      </c>
      <c r="T20" s="33">
        <f t="shared" si="3"/>
        <v>2.0541473792631271E-2</v>
      </c>
      <c r="U20" s="33">
        <f t="shared" si="3"/>
        <v>1.643984451748004E-2</v>
      </c>
      <c r="V20" s="33">
        <f t="shared" si="3"/>
        <v>1.6865841066016296E-2</v>
      </c>
      <c r="W20" s="33">
        <f t="shared" si="3"/>
        <v>1.6949298106271993E-2</v>
      </c>
      <c r="X20" s="33">
        <f t="shared" si="3"/>
        <v>1.5711430512371782E-2</v>
      </c>
    </row>
    <row r="22" spans="2:24" x14ac:dyDescent="0.3">
      <c r="B22" s="44" t="s">
        <v>57</v>
      </c>
      <c r="C22" s="45" t="s">
        <v>9</v>
      </c>
      <c r="D22" s="45"/>
      <c r="E22" s="132"/>
      <c r="F22" s="13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4" spans="2:24" s="8" customFormat="1" x14ac:dyDescent="0.3">
      <c r="B24" s="8" t="s">
        <v>58</v>
      </c>
      <c r="C24" s="29" t="s">
        <v>55</v>
      </c>
      <c r="D24" s="29"/>
      <c r="G24" s="66">
        <v>3930</v>
      </c>
      <c r="H24" s="66">
        <v>3894</v>
      </c>
      <c r="I24" s="66">
        <v>4841.3999999999996</v>
      </c>
      <c r="J24" s="66">
        <v>4687.7</v>
      </c>
      <c r="K24" s="66">
        <v>4649.1000000000004</v>
      </c>
      <c r="L24" s="66">
        <f>+SUM(L26+L29+L32+L35+L38+L41)</f>
        <v>6190.0969272719758</v>
      </c>
      <c r="M24" s="66">
        <f t="shared" ref="M24:X24" si="4">+SUM(M26+M29+M32+M35+M38+M41)</f>
        <v>5327.9460557385773</v>
      </c>
      <c r="N24" s="66">
        <f t="shared" si="4"/>
        <v>5920.6654518701189</v>
      </c>
      <c r="O24" s="66">
        <f t="shared" si="4"/>
        <v>6332.0428041188325</v>
      </c>
      <c r="P24" s="66">
        <f t="shared" si="4"/>
        <v>6821.6872051381552</v>
      </c>
      <c r="Q24" s="66">
        <f t="shared" si="4"/>
        <v>7785.7569333472993</v>
      </c>
      <c r="R24" s="66">
        <f t="shared" si="4"/>
        <v>8036.362395626541</v>
      </c>
      <c r="S24" s="66">
        <f t="shared" si="4"/>
        <v>14285.005000143665</v>
      </c>
      <c r="T24" s="66">
        <f t="shared" si="4"/>
        <v>14578.440055981722</v>
      </c>
      <c r="U24" s="66">
        <f t="shared" si="4"/>
        <v>14818.107343809465</v>
      </c>
      <c r="V24" s="66">
        <f t="shared" si="4"/>
        <v>15068.027187169322</v>
      </c>
      <c r="W24" s="66">
        <f t="shared" si="4"/>
        <v>15323.419671838064</v>
      </c>
      <c r="X24" s="66">
        <f t="shared" si="4"/>
        <v>15564.17251522406</v>
      </c>
    </row>
    <row r="25" spans="2:24" x14ac:dyDescent="0.3"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 spans="2:24" x14ac:dyDescent="0.3">
      <c r="B26" s="9" t="s">
        <v>59</v>
      </c>
      <c r="C26" s="6" t="s">
        <v>55</v>
      </c>
      <c r="G26" s="63"/>
      <c r="H26" s="63"/>
      <c r="I26" s="67">
        <v>808.51</v>
      </c>
      <c r="J26" s="63">
        <v>623.46</v>
      </c>
      <c r="K26" s="63">
        <v>511.4</v>
      </c>
      <c r="L26" s="63">
        <f>+L27*L$19</f>
        <v>855.48114786648318</v>
      </c>
      <c r="M26" s="63">
        <f t="shared" ref="M26:X26" si="5">+M27*M$19</f>
        <v>736.33053909911359</v>
      </c>
      <c r="N26" s="63">
        <f t="shared" si="5"/>
        <v>818.24529347579585</v>
      </c>
      <c r="O26" s="63">
        <f t="shared" si="5"/>
        <v>875.0982916829015</v>
      </c>
      <c r="P26" s="63">
        <f t="shared" si="5"/>
        <v>942.76791934009088</v>
      </c>
      <c r="Q26" s="63">
        <f t="shared" si="5"/>
        <v>1076.0038746735331</v>
      </c>
      <c r="R26" s="63">
        <f t="shared" si="5"/>
        <v>1110.6379443902313</v>
      </c>
      <c r="S26" s="63">
        <f t="shared" si="5"/>
        <v>1974.2101970908957</v>
      </c>
      <c r="T26" s="63">
        <f t="shared" si="5"/>
        <v>2014.7633841155837</v>
      </c>
      <c r="U26" s="63">
        <f t="shared" si="5"/>
        <v>2047.8857808899556</v>
      </c>
      <c r="V26" s="63">
        <f t="shared" si="5"/>
        <v>2082.4250969918003</v>
      </c>
      <c r="W26" s="63">
        <f t="shared" si="5"/>
        <v>2117.7207407446963</v>
      </c>
      <c r="X26" s="63">
        <f t="shared" si="5"/>
        <v>2150.9931630075152</v>
      </c>
    </row>
    <row r="27" spans="2:24" s="30" customFormat="1" x14ac:dyDescent="0.3">
      <c r="B27" s="30" t="s">
        <v>60</v>
      </c>
      <c r="C27" s="31" t="s">
        <v>12</v>
      </c>
      <c r="D27" s="31"/>
      <c r="G27" s="42"/>
      <c r="H27" s="42"/>
      <c r="I27" s="42">
        <f>+I26/I$19</f>
        <v>8.0465569920082802E-2</v>
      </c>
      <c r="J27" s="42">
        <f t="shared" ref="J27:K27" si="6">+J26/J$19</f>
        <v>6.3002485903110417E-2</v>
      </c>
      <c r="K27" s="42">
        <f t="shared" si="6"/>
        <v>4.4728602165585038E-2</v>
      </c>
      <c r="L27" s="42">
        <f>+AVERAGE($I27:$K27)</f>
        <v>6.2732219329592762E-2</v>
      </c>
      <c r="M27" s="42">
        <f t="shared" ref="M27:X27" si="7">+AVERAGE($I27:$K27)</f>
        <v>6.2732219329592762E-2</v>
      </c>
      <c r="N27" s="42">
        <f t="shared" si="7"/>
        <v>6.2732219329592762E-2</v>
      </c>
      <c r="O27" s="42">
        <f t="shared" si="7"/>
        <v>6.2732219329592762E-2</v>
      </c>
      <c r="P27" s="42">
        <f t="shared" si="7"/>
        <v>6.2732219329592762E-2</v>
      </c>
      <c r="Q27" s="42">
        <f t="shared" si="7"/>
        <v>6.2732219329592762E-2</v>
      </c>
      <c r="R27" s="42">
        <f t="shared" si="7"/>
        <v>6.2732219329592762E-2</v>
      </c>
      <c r="S27" s="42">
        <f t="shared" si="7"/>
        <v>6.2732219329592762E-2</v>
      </c>
      <c r="T27" s="42">
        <f t="shared" si="7"/>
        <v>6.2732219329592762E-2</v>
      </c>
      <c r="U27" s="42">
        <f t="shared" si="7"/>
        <v>6.2732219329592762E-2</v>
      </c>
      <c r="V27" s="42">
        <f t="shared" si="7"/>
        <v>6.2732219329592762E-2</v>
      </c>
      <c r="W27" s="42">
        <f t="shared" si="7"/>
        <v>6.2732219329592762E-2</v>
      </c>
      <c r="X27" s="42">
        <f t="shared" si="7"/>
        <v>6.2732219329592762E-2</v>
      </c>
    </row>
    <row r="28" spans="2:24" x14ac:dyDescent="0.3"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 spans="2:24" x14ac:dyDescent="0.3">
      <c r="B29" s="9" t="s">
        <v>61</v>
      </c>
      <c r="C29" s="6" t="s">
        <v>55</v>
      </c>
      <c r="G29" s="63"/>
      <c r="H29" s="63"/>
      <c r="I29" s="63">
        <v>522.87</v>
      </c>
      <c r="J29" s="63">
        <v>543.77</v>
      </c>
      <c r="K29" s="63">
        <v>613.67999999999995</v>
      </c>
      <c r="L29" s="63">
        <f>+L30*L$19</f>
        <v>730.31584402158546</v>
      </c>
      <c r="M29" s="63">
        <f t="shared" ref="M29" si="8">+M30*M$19</f>
        <v>628.59814092006923</v>
      </c>
      <c r="N29" s="63">
        <f t="shared" ref="N29" si="9">+N30*N$19</f>
        <v>698.52796126692772</v>
      </c>
      <c r="O29" s="63">
        <f t="shared" ref="O29" si="10">+O30*O$19</f>
        <v>747.0628068030685</v>
      </c>
      <c r="P29" s="63">
        <f t="shared" ref="P29" si="11">+P30*P$19</f>
        <v>804.83170254125923</v>
      </c>
      <c r="Q29" s="63">
        <f t="shared" ref="Q29" si="12">+Q30*Q$19</f>
        <v>918.57392750558029</v>
      </c>
      <c r="R29" s="63">
        <f t="shared" ref="R29" si="13">+R30*R$19</f>
        <v>948.14069226729839</v>
      </c>
      <c r="S29" s="63">
        <f t="shared" ref="S29" si="14">+S30*S$19</f>
        <v>1685.3638329263129</v>
      </c>
      <c r="T29" s="63">
        <f t="shared" ref="T29" si="15">+T30*T$19</f>
        <v>1719.9836899314173</v>
      </c>
      <c r="U29" s="63">
        <f t="shared" ref="U29" si="16">+U30*U$19</f>
        <v>1748.2599543664912</v>
      </c>
      <c r="V29" s="63">
        <f t="shared" ref="V29" si="17">+V30*V$19</f>
        <v>1777.7458288989174</v>
      </c>
      <c r="W29" s="63">
        <f t="shared" ref="W29" si="18">+W30*W$19</f>
        <v>1807.8773729101065</v>
      </c>
      <c r="X29" s="63">
        <f t="shared" ref="X29" si="19">+X30*X$19</f>
        <v>1836.2817126294731</v>
      </c>
    </row>
    <row r="30" spans="2:24" s="30" customFormat="1" x14ac:dyDescent="0.3">
      <c r="B30" s="30" t="s">
        <v>60</v>
      </c>
      <c r="C30" s="31" t="s">
        <v>12</v>
      </c>
      <c r="D30" s="31"/>
      <c r="G30" s="42"/>
      <c r="H30" s="42"/>
      <c r="I30" s="42">
        <f>+I29/I$19</f>
        <v>5.2037739229092647E-2</v>
      </c>
      <c r="J30" s="42">
        <f t="shared" ref="J30" si="20">+J29/J$19</f>
        <v>5.494957456698802E-2</v>
      </c>
      <c r="K30" s="42">
        <f t="shared" ref="K30" si="21">+K29/K$19</f>
        <v>5.3674322598702043E-2</v>
      </c>
      <c r="L30" s="42">
        <f>+AVERAGE($I30:$K30)</f>
        <v>5.3553878798260901E-2</v>
      </c>
      <c r="M30" s="42">
        <f t="shared" ref="M30:X30" si="22">+AVERAGE($I30:$K30)</f>
        <v>5.3553878798260901E-2</v>
      </c>
      <c r="N30" s="42">
        <f t="shared" si="22"/>
        <v>5.3553878798260901E-2</v>
      </c>
      <c r="O30" s="42">
        <f t="shared" si="22"/>
        <v>5.3553878798260901E-2</v>
      </c>
      <c r="P30" s="42">
        <f t="shared" si="22"/>
        <v>5.3553878798260901E-2</v>
      </c>
      <c r="Q30" s="42">
        <f t="shared" si="22"/>
        <v>5.3553878798260901E-2</v>
      </c>
      <c r="R30" s="42">
        <f t="shared" si="22"/>
        <v>5.3553878798260901E-2</v>
      </c>
      <c r="S30" s="42">
        <f t="shared" si="22"/>
        <v>5.3553878798260901E-2</v>
      </c>
      <c r="T30" s="42">
        <f t="shared" si="22"/>
        <v>5.3553878798260901E-2</v>
      </c>
      <c r="U30" s="42">
        <f t="shared" si="22"/>
        <v>5.3553878798260901E-2</v>
      </c>
      <c r="V30" s="42">
        <f t="shared" si="22"/>
        <v>5.3553878798260901E-2</v>
      </c>
      <c r="W30" s="42">
        <f t="shared" si="22"/>
        <v>5.3553878798260901E-2</v>
      </c>
      <c r="X30" s="42">
        <f t="shared" si="22"/>
        <v>5.3553878798260901E-2</v>
      </c>
    </row>
    <row r="31" spans="2:24" x14ac:dyDescent="0.3"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 spans="2:24" x14ac:dyDescent="0.3">
      <c r="B32" s="9" t="s">
        <v>62</v>
      </c>
      <c r="C32" s="6" t="s">
        <v>55</v>
      </c>
      <c r="G32" s="63"/>
      <c r="H32" s="63"/>
      <c r="I32" s="63">
        <v>813.36</v>
      </c>
      <c r="J32" s="63">
        <v>735.97</v>
      </c>
      <c r="K32" s="63">
        <v>715.96</v>
      </c>
      <c r="L32" s="63">
        <f>+L33*L$19</f>
        <v>990.6859288727378</v>
      </c>
      <c r="M32" s="63">
        <f t="shared" ref="M32" si="23">+M33*M$19</f>
        <v>852.70412551349341</v>
      </c>
      <c r="N32" s="63">
        <f t="shared" ref="N32" si="24">+N33*N$19</f>
        <v>947.56512242784174</v>
      </c>
      <c r="O32" s="63">
        <f t="shared" ref="O32" si="25">+O33*O$19</f>
        <v>1013.4034702143171</v>
      </c>
      <c r="P32" s="63">
        <f t="shared" ref="P32" si="26">+P33*P$19</f>
        <v>1091.7679649775587</v>
      </c>
      <c r="Q32" s="63">
        <f t="shared" ref="Q32" si="27">+Q33*Q$19</f>
        <v>1246.0612378310225</v>
      </c>
      <c r="R32" s="63">
        <f t="shared" ref="R32" si="28">+R33*R$19</f>
        <v>1286.1690597432892</v>
      </c>
      <c r="S32" s="63">
        <f t="shared" ref="S32" si="29">+S33*S$19</f>
        <v>2286.224854601091</v>
      </c>
      <c r="T32" s="63">
        <f t="shared" ref="T32" si="30">+T33*T$19</f>
        <v>2333.1872825359414</v>
      </c>
      <c r="U32" s="63">
        <f t="shared" ref="U32" si="31">+U33*U$19</f>
        <v>2371.5445186909938</v>
      </c>
      <c r="V32" s="63">
        <f t="shared" ref="V32" si="32">+V33*V$19</f>
        <v>2411.5426116242179</v>
      </c>
      <c r="W32" s="63">
        <f t="shared" ref="W32" si="33">+W33*W$19</f>
        <v>2452.4165662446144</v>
      </c>
      <c r="X32" s="63">
        <f t="shared" ref="X32" si="34">+X33*X$19</f>
        <v>2490.9475387125563</v>
      </c>
    </row>
    <row r="33" spans="2:24" s="30" customFormat="1" x14ac:dyDescent="0.3">
      <c r="B33" s="30" t="s">
        <v>60</v>
      </c>
      <c r="C33" s="31" t="s">
        <v>12</v>
      </c>
      <c r="D33" s="31"/>
      <c r="G33" s="42"/>
      <c r="H33" s="42"/>
      <c r="I33" s="42">
        <f>+I32/I$19</f>
        <v>8.0948257844922822E-2</v>
      </c>
      <c r="J33" s="42">
        <f t="shared" ref="J33" si="35">+J32/J$19</f>
        <v>7.437195577921947E-2</v>
      </c>
      <c r="K33" s="42">
        <f t="shared" ref="K33" si="36">+K32/K$19</f>
        <v>6.2620043031819062E-2</v>
      </c>
      <c r="L33" s="42">
        <f>+AVERAGE($I33:$K33)</f>
        <v>7.2646752218653785E-2</v>
      </c>
      <c r="M33" s="42">
        <f t="shared" ref="M33:X33" si="37">+AVERAGE($I33:$K33)</f>
        <v>7.2646752218653785E-2</v>
      </c>
      <c r="N33" s="42">
        <f t="shared" si="37"/>
        <v>7.2646752218653785E-2</v>
      </c>
      <c r="O33" s="42">
        <f t="shared" si="37"/>
        <v>7.2646752218653785E-2</v>
      </c>
      <c r="P33" s="42">
        <f t="shared" si="37"/>
        <v>7.2646752218653785E-2</v>
      </c>
      <c r="Q33" s="42">
        <f t="shared" si="37"/>
        <v>7.2646752218653785E-2</v>
      </c>
      <c r="R33" s="42">
        <f t="shared" si="37"/>
        <v>7.2646752218653785E-2</v>
      </c>
      <c r="S33" s="42">
        <f t="shared" si="37"/>
        <v>7.2646752218653785E-2</v>
      </c>
      <c r="T33" s="42">
        <f t="shared" si="37"/>
        <v>7.2646752218653785E-2</v>
      </c>
      <c r="U33" s="42">
        <f t="shared" si="37"/>
        <v>7.2646752218653785E-2</v>
      </c>
      <c r="V33" s="42">
        <f t="shared" si="37"/>
        <v>7.2646752218653785E-2</v>
      </c>
      <c r="W33" s="42">
        <f t="shared" si="37"/>
        <v>7.2646752218653785E-2</v>
      </c>
      <c r="X33" s="42">
        <f t="shared" si="37"/>
        <v>7.2646752218653785E-2</v>
      </c>
    </row>
    <row r="34" spans="2:24" x14ac:dyDescent="0.3"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 spans="2:24" x14ac:dyDescent="0.3">
      <c r="B35" s="9" t="s">
        <v>63</v>
      </c>
      <c r="C35" s="6" t="s">
        <v>55</v>
      </c>
      <c r="G35" s="63"/>
      <c r="H35" s="63"/>
      <c r="I35" s="63">
        <v>948.91</v>
      </c>
      <c r="J35" s="63">
        <v>1003.17</v>
      </c>
      <c r="K35" s="63">
        <v>1087.8900000000001</v>
      </c>
      <c r="L35" s="63">
        <f>+L36*L$19</f>
        <v>1322.6197187032622</v>
      </c>
      <c r="M35" s="63">
        <f t="shared" ref="M35" si="38">+M36*M$19</f>
        <v>1138.4064896400116</v>
      </c>
      <c r="N35" s="63">
        <f t="shared" ref="N35" si="39">+N36*N$19</f>
        <v>1265.051091524615</v>
      </c>
      <c r="O35" s="63">
        <f t="shared" ref="O35" si="40">+O36*O$19</f>
        <v>1352.9488747588227</v>
      </c>
      <c r="P35" s="63">
        <f t="shared" ref="P35" si="41">+P36*P$19</f>
        <v>1457.5697470245839</v>
      </c>
      <c r="Q35" s="63">
        <f t="shared" ref="Q35" si="42">+Q36*Q$19</f>
        <v>1663.5596770233462</v>
      </c>
      <c r="R35" s="63">
        <f t="shared" ref="R35" si="43">+R36*R$19</f>
        <v>1717.1058056089851</v>
      </c>
      <c r="S35" s="63">
        <f t="shared" ref="S35" si="44">+S36*S$19</f>
        <v>3052.2348061666421</v>
      </c>
      <c r="T35" s="63">
        <f t="shared" ref="T35" si="45">+T36*T$19</f>
        <v>3114.9322074464712</v>
      </c>
      <c r="U35" s="63">
        <f t="shared" ref="U35" si="46">+U36*U$19</f>
        <v>3166.1412086193818</v>
      </c>
      <c r="V35" s="63">
        <f t="shared" ref="V35" si="47">+V36*V$19</f>
        <v>3219.540843036521</v>
      </c>
      <c r="W35" s="63">
        <f t="shared" ref="W35" si="48">+W36*W$19</f>
        <v>3274.109800550465</v>
      </c>
      <c r="X35" s="63">
        <f t="shared" ref="X35" si="49">+X36*X$19</f>
        <v>3325.5507491716889</v>
      </c>
    </row>
    <row r="36" spans="2:24" s="30" customFormat="1" x14ac:dyDescent="0.3">
      <c r="B36" s="30" t="s">
        <v>60</v>
      </c>
      <c r="C36" s="31" t="s">
        <v>12</v>
      </c>
      <c r="D36" s="31"/>
      <c r="G36" s="42"/>
      <c r="H36" s="42"/>
      <c r="I36" s="42">
        <f>+I35/I$19</f>
        <v>9.4438638919575241E-2</v>
      </c>
      <c r="J36" s="42">
        <f t="shared" ref="J36" si="50">+J35/J$19</f>
        <v>0.10137330988904383</v>
      </c>
      <c r="K36" s="42">
        <f t="shared" ref="K36" si="51">+K35/K$19</f>
        <v>9.5150174051463268E-2</v>
      </c>
      <c r="L36" s="42">
        <f>+AVERAGE($I36:$K36)</f>
        <v>9.6987374286694114E-2</v>
      </c>
      <c r="M36" s="42">
        <f t="shared" ref="M36:X36" si="52">+AVERAGE($I36:$K36)</f>
        <v>9.6987374286694114E-2</v>
      </c>
      <c r="N36" s="42">
        <f t="shared" si="52"/>
        <v>9.6987374286694114E-2</v>
      </c>
      <c r="O36" s="42">
        <f t="shared" si="52"/>
        <v>9.6987374286694114E-2</v>
      </c>
      <c r="P36" s="42">
        <f t="shared" si="52"/>
        <v>9.6987374286694114E-2</v>
      </c>
      <c r="Q36" s="42">
        <f t="shared" si="52"/>
        <v>9.6987374286694114E-2</v>
      </c>
      <c r="R36" s="42">
        <f t="shared" si="52"/>
        <v>9.6987374286694114E-2</v>
      </c>
      <c r="S36" s="42">
        <f t="shared" si="52"/>
        <v>9.6987374286694114E-2</v>
      </c>
      <c r="T36" s="42">
        <f t="shared" si="52"/>
        <v>9.6987374286694114E-2</v>
      </c>
      <c r="U36" s="42">
        <f t="shared" si="52"/>
        <v>9.6987374286694114E-2</v>
      </c>
      <c r="V36" s="42">
        <f t="shared" si="52"/>
        <v>9.6987374286694114E-2</v>
      </c>
      <c r="W36" s="42">
        <f t="shared" si="52"/>
        <v>9.6987374286694114E-2</v>
      </c>
      <c r="X36" s="42">
        <f t="shared" si="52"/>
        <v>9.6987374286694114E-2</v>
      </c>
    </row>
    <row r="37" spans="2:24" x14ac:dyDescent="0.3"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 spans="2:24" x14ac:dyDescent="0.3">
      <c r="B38" s="9" t="s">
        <v>64</v>
      </c>
      <c r="C38" s="6" t="s">
        <v>55</v>
      </c>
      <c r="G38" s="63"/>
      <c r="H38" s="63"/>
      <c r="I38" s="63">
        <v>973.12</v>
      </c>
      <c r="J38" s="63">
        <v>918.79</v>
      </c>
      <c r="K38" s="63">
        <v>883.33</v>
      </c>
      <c r="L38" s="63">
        <f>+L39*L$19</f>
        <v>1213.4833326838336</v>
      </c>
      <c r="M38" s="63">
        <f t="shared" ref="M38" si="53">+M39*M$19</f>
        <v>1044.4705167042798</v>
      </c>
      <c r="N38" s="63">
        <f t="shared" ref="N38" si="54">+N39*N$19</f>
        <v>1160.6649990548226</v>
      </c>
      <c r="O38" s="63">
        <f t="shared" ref="O38" si="55">+O39*O$19</f>
        <v>1241.3098687979884</v>
      </c>
      <c r="P38" s="63">
        <f t="shared" ref="P38" si="56">+P39*P$19</f>
        <v>1337.2979165717031</v>
      </c>
      <c r="Q38" s="63">
        <f t="shared" ref="Q38" si="57">+Q39*Q$19</f>
        <v>1526.290522094991</v>
      </c>
      <c r="R38" s="63">
        <f t="shared" ref="R38" si="58">+R39*R$19</f>
        <v>1575.4182748795358</v>
      </c>
      <c r="S38" s="63">
        <f t="shared" ref="S38" si="59">+S39*S$19</f>
        <v>2800.378682053863</v>
      </c>
      <c r="T38" s="63">
        <f t="shared" ref="T38" si="60">+T39*T$19</f>
        <v>2857.9025873607156</v>
      </c>
      <c r="U38" s="63">
        <f t="shared" ref="U38" si="61">+U39*U$19</f>
        <v>2904.8860615430294</v>
      </c>
      <c r="V38" s="63">
        <f t="shared" ref="V38" si="62">+V39*V$19</f>
        <v>2953.8794081719002</v>
      </c>
      <c r="W38" s="63">
        <f t="shared" ref="W38" si="63">+W39*W$19</f>
        <v>3003.9455908309837</v>
      </c>
      <c r="X38" s="63">
        <f t="shared" ref="X38" si="64">+X39*X$19</f>
        <v>3051.1418732442703</v>
      </c>
    </row>
    <row r="39" spans="2:24" s="30" customFormat="1" x14ac:dyDescent="0.3">
      <c r="B39" s="30" t="s">
        <v>65</v>
      </c>
      <c r="C39" s="31" t="s">
        <v>12</v>
      </c>
      <c r="D39" s="31"/>
      <c r="G39" s="42"/>
      <c r="H39" s="42"/>
      <c r="I39" s="42">
        <f>+I38/I$19</f>
        <v>9.6848097612436429E-2</v>
      </c>
      <c r="J39" s="42">
        <f t="shared" ref="J39" si="65">+J38/J$19</f>
        <v>9.2846460114391974E-2</v>
      </c>
      <c r="K39" s="42">
        <f t="shared" ref="K39" si="66">+K38/K$19</f>
        <v>7.7258733185229245E-2</v>
      </c>
      <c r="L39" s="42">
        <f>+AVERAGE($I39:$K39)</f>
        <v>8.8984430304019216E-2</v>
      </c>
      <c r="M39" s="42">
        <f t="shared" ref="M39:X39" si="67">+AVERAGE($I39:$K39)</f>
        <v>8.8984430304019216E-2</v>
      </c>
      <c r="N39" s="42">
        <f t="shared" si="67"/>
        <v>8.8984430304019216E-2</v>
      </c>
      <c r="O39" s="42">
        <f t="shared" si="67"/>
        <v>8.8984430304019216E-2</v>
      </c>
      <c r="P39" s="42">
        <f t="shared" si="67"/>
        <v>8.8984430304019216E-2</v>
      </c>
      <c r="Q39" s="42">
        <f t="shared" si="67"/>
        <v>8.8984430304019216E-2</v>
      </c>
      <c r="R39" s="42">
        <f t="shared" si="67"/>
        <v>8.8984430304019216E-2</v>
      </c>
      <c r="S39" s="42">
        <f t="shared" si="67"/>
        <v>8.8984430304019216E-2</v>
      </c>
      <c r="T39" s="42">
        <f t="shared" si="67"/>
        <v>8.8984430304019216E-2</v>
      </c>
      <c r="U39" s="42">
        <f t="shared" si="67"/>
        <v>8.8984430304019216E-2</v>
      </c>
      <c r="V39" s="42">
        <f t="shared" si="67"/>
        <v>8.8984430304019216E-2</v>
      </c>
      <c r="W39" s="42">
        <f t="shared" si="67"/>
        <v>8.8984430304019216E-2</v>
      </c>
      <c r="X39" s="42">
        <f t="shared" si="67"/>
        <v>8.8984430304019216E-2</v>
      </c>
    </row>
    <row r="40" spans="2:24" x14ac:dyDescent="0.3"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 spans="2:24" x14ac:dyDescent="0.3">
      <c r="B41" s="9" t="s">
        <v>66</v>
      </c>
      <c r="C41" s="6" t="s">
        <v>55</v>
      </c>
      <c r="G41" s="63"/>
      <c r="H41" s="63"/>
      <c r="I41" s="63">
        <v>774.62</v>
      </c>
      <c r="J41" s="63">
        <v>862.54</v>
      </c>
      <c r="K41" s="63">
        <v>832.19</v>
      </c>
      <c r="L41" s="63">
        <f>+L42*L$19</f>
        <v>1077.5109551240735</v>
      </c>
      <c r="M41" s="63">
        <f t="shared" ref="M41" si="68">+M42*M$19</f>
        <v>927.43624386161002</v>
      </c>
      <c r="N41" s="63">
        <f t="shared" ref="N41" si="69">+N42*N$19</f>
        <v>1030.6109841201157</v>
      </c>
      <c r="O41" s="63">
        <f t="shared" ref="O41" si="70">+O42*O$19</f>
        <v>1102.2194918617342</v>
      </c>
      <c r="P41" s="63">
        <f t="shared" ref="P41" si="71">+P42*P$19</f>
        <v>1187.4519546829588</v>
      </c>
      <c r="Q41" s="63">
        <f t="shared" ref="Q41" si="72">+Q42*Q$19</f>
        <v>1355.2676942188252</v>
      </c>
      <c r="R41" s="63">
        <f t="shared" ref="R41" si="73">+R42*R$19</f>
        <v>1398.8906187372011</v>
      </c>
      <c r="S41" s="63">
        <f t="shared" ref="S41" si="74">+S42*S$19</f>
        <v>2486.5926273048603</v>
      </c>
      <c r="T41" s="63">
        <f t="shared" ref="T41" si="75">+T42*T$19</f>
        <v>2537.6709045915932</v>
      </c>
      <c r="U41" s="63">
        <f t="shared" ref="U41" si="76">+U42*U$19</f>
        <v>2579.389819699612</v>
      </c>
      <c r="V41" s="63">
        <f t="shared" ref="V41" si="77">+V42*V$19</f>
        <v>2622.8933984459659</v>
      </c>
      <c r="W41" s="63">
        <f t="shared" ref="W41" si="78">+W42*W$19</f>
        <v>2667.3496005571992</v>
      </c>
      <c r="X41" s="63">
        <f t="shared" ref="X41" si="79">+X42*X$19</f>
        <v>2709.2574784585563</v>
      </c>
    </row>
    <row r="42" spans="2:24" x14ac:dyDescent="0.3">
      <c r="B42" s="9"/>
      <c r="C42" s="6" t="s">
        <v>12</v>
      </c>
      <c r="G42" s="18"/>
      <c r="H42" s="18"/>
      <c r="I42" s="18">
        <f>+I41/I$19</f>
        <v>7.7092725843211016E-2</v>
      </c>
      <c r="J42" s="18">
        <f t="shared" ref="J42" si="80">+J41/J$19</f>
        <v>8.716223044119728E-2</v>
      </c>
      <c r="K42" s="18">
        <f t="shared" ref="K42" si="81">+K41/K$19</f>
        <v>7.2785872968670742E-2</v>
      </c>
      <c r="L42" s="18">
        <f>+AVERAGE($I42:$K42)</f>
        <v>7.9013609751026337E-2</v>
      </c>
      <c r="M42" s="18">
        <f t="shared" ref="M42:X42" si="82">+AVERAGE($I42:$K42)</f>
        <v>7.9013609751026337E-2</v>
      </c>
      <c r="N42" s="18">
        <f t="shared" si="82"/>
        <v>7.9013609751026337E-2</v>
      </c>
      <c r="O42" s="18">
        <f t="shared" si="82"/>
        <v>7.9013609751026337E-2</v>
      </c>
      <c r="P42" s="18">
        <f t="shared" si="82"/>
        <v>7.9013609751026337E-2</v>
      </c>
      <c r="Q42" s="18">
        <f t="shared" si="82"/>
        <v>7.9013609751026337E-2</v>
      </c>
      <c r="R42" s="18">
        <f t="shared" si="82"/>
        <v>7.9013609751026337E-2</v>
      </c>
      <c r="S42" s="18">
        <f t="shared" si="82"/>
        <v>7.9013609751026337E-2</v>
      </c>
      <c r="T42" s="18">
        <f t="shared" si="82"/>
        <v>7.9013609751026337E-2</v>
      </c>
      <c r="U42" s="18">
        <f t="shared" si="82"/>
        <v>7.9013609751026337E-2</v>
      </c>
      <c r="V42" s="18">
        <f t="shared" si="82"/>
        <v>7.9013609751026337E-2</v>
      </c>
      <c r="W42" s="18">
        <f t="shared" si="82"/>
        <v>7.9013609751026337E-2</v>
      </c>
      <c r="X42" s="18">
        <f t="shared" si="82"/>
        <v>7.9013609751026337E-2</v>
      </c>
    </row>
    <row r="44" spans="2:24" x14ac:dyDescent="0.3">
      <c r="B44" s="44" t="s">
        <v>67</v>
      </c>
      <c r="C44" s="45"/>
      <c r="D44" s="45"/>
      <c r="E44" s="132"/>
      <c r="F44" s="132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6" spans="2:24" s="8" customFormat="1" x14ac:dyDescent="0.3">
      <c r="B46" s="8" t="s">
        <v>68</v>
      </c>
      <c r="C46" s="29" t="s">
        <v>55</v>
      </c>
      <c r="D46" s="29"/>
      <c r="I46" s="68">
        <f>+I49</f>
        <v>125</v>
      </c>
      <c r="J46" s="68">
        <f t="shared" ref="J46:X46" si="83">+J49</f>
        <v>127.2</v>
      </c>
      <c r="K46" s="68">
        <f t="shared" si="83"/>
        <v>130.5</v>
      </c>
      <c r="L46" s="68">
        <f t="shared" si="83"/>
        <v>173.13373359935417</v>
      </c>
      <c r="M46" s="68">
        <f t="shared" si="83"/>
        <v>149.01983020361243</v>
      </c>
      <c r="N46" s="68">
        <f t="shared" si="83"/>
        <v>165.59787788763046</v>
      </c>
      <c r="O46" s="68">
        <f t="shared" si="83"/>
        <v>177.10388461900246</v>
      </c>
      <c r="P46" s="68">
        <f t="shared" si="83"/>
        <v>190.79897926461331</v>
      </c>
      <c r="Q46" s="68">
        <f t="shared" si="83"/>
        <v>217.76349911883207</v>
      </c>
      <c r="R46" s="68">
        <f t="shared" si="83"/>
        <v>224.77280121128231</v>
      </c>
      <c r="S46" s="68">
        <f t="shared" si="83"/>
        <v>399.54402640513769</v>
      </c>
      <c r="T46" s="68">
        <f t="shared" si="83"/>
        <v>407.75124955254114</v>
      </c>
      <c r="U46" s="68">
        <f t="shared" si="83"/>
        <v>414.45461669699313</v>
      </c>
      <c r="V46" s="68">
        <f t="shared" si="83"/>
        <v>421.4447423912813</v>
      </c>
      <c r="W46" s="68">
        <f t="shared" si="83"/>
        <v>428.58793496539209</v>
      </c>
      <c r="X46" s="68">
        <f t="shared" si="83"/>
        <v>435.32166452404175</v>
      </c>
    </row>
    <row r="49" spans="1:24" x14ac:dyDescent="0.3">
      <c r="B49" s="10" t="s">
        <v>69</v>
      </c>
      <c r="C49" s="6" t="s">
        <v>55</v>
      </c>
      <c r="G49" s="63">
        <f>+G50*G19</f>
        <v>99.335433274614601</v>
      </c>
      <c r="H49" s="63">
        <f>+H50*H19</f>
        <v>136.02469172662947</v>
      </c>
      <c r="I49" s="69">
        <v>125</v>
      </c>
      <c r="J49" s="69">
        <v>127.2</v>
      </c>
      <c r="K49" s="69">
        <v>130.5</v>
      </c>
      <c r="L49" s="63">
        <f t="shared" ref="L49:X49" si="84">+L50*L19</f>
        <v>173.13373359935417</v>
      </c>
      <c r="M49" s="63">
        <f t="shared" si="84"/>
        <v>149.01983020361243</v>
      </c>
      <c r="N49" s="63">
        <f t="shared" si="84"/>
        <v>165.59787788763046</v>
      </c>
      <c r="O49" s="63">
        <f t="shared" si="84"/>
        <v>177.10388461900246</v>
      </c>
      <c r="P49" s="63">
        <f t="shared" si="84"/>
        <v>190.79897926461331</v>
      </c>
      <c r="Q49" s="63">
        <f t="shared" si="84"/>
        <v>217.76349911883207</v>
      </c>
      <c r="R49" s="63">
        <f t="shared" si="84"/>
        <v>224.77280121128231</v>
      </c>
      <c r="S49" s="63">
        <f t="shared" si="84"/>
        <v>399.54402640513769</v>
      </c>
      <c r="T49" s="63">
        <f t="shared" si="84"/>
        <v>407.75124955254114</v>
      </c>
      <c r="U49" s="63">
        <f t="shared" si="84"/>
        <v>414.45461669699313</v>
      </c>
      <c r="V49" s="63">
        <f t="shared" si="84"/>
        <v>421.4447423912813</v>
      </c>
      <c r="W49" s="63">
        <f t="shared" si="84"/>
        <v>428.58793496539209</v>
      </c>
      <c r="X49" s="63">
        <f t="shared" si="84"/>
        <v>435.32166452404175</v>
      </c>
    </row>
    <row r="50" spans="1:24" s="30" customFormat="1" x14ac:dyDescent="0.3">
      <c r="B50" s="30" t="s">
        <v>60</v>
      </c>
      <c r="C50" s="6" t="s">
        <v>12</v>
      </c>
      <c r="D50" s="31"/>
      <c r="G50" s="42">
        <v>1.244041043402104E-2</v>
      </c>
      <c r="H50" s="42">
        <v>1.244041043402104E-2</v>
      </c>
      <c r="I50" s="42">
        <f>+I49/$I$19</f>
        <v>1.244041043402104E-2</v>
      </c>
      <c r="J50" s="42">
        <f t="shared" ref="J50:K50" si="85">+J49/$I$19</f>
        <v>1.2659361657659809E-2</v>
      </c>
      <c r="K50" s="42">
        <f t="shared" si="85"/>
        <v>1.2987788493117965E-2</v>
      </c>
      <c r="L50" s="42">
        <f>+AVERAGE($I$50:$K$50)</f>
        <v>1.2695853528266271E-2</v>
      </c>
      <c r="M50" s="42">
        <f t="shared" ref="M50:X50" si="86">+AVERAGE($I$50:$K$50)</f>
        <v>1.2695853528266271E-2</v>
      </c>
      <c r="N50" s="42">
        <f t="shared" si="86"/>
        <v>1.2695853528266271E-2</v>
      </c>
      <c r="O50" s="42">
        <f t="shared" si="86"/>
        <v>1.2695853528266271E-2</v>
      </c>
      <c r="P50" s="42">
        <f t="shared" si="86"/>
        <v>1.2695853528266271E-2</v>
      </c>
      <c r="Q50" s="42">
        <f t="shared" si="86"/>
        <v>1.2695853528266271E-2</v>
      </c>
      <c r="R50" s="42">
        <f t="shared" si="86"/>
        <v>1.2695853528266271E-2</v>
      </c>
      <c r="S50" s="42">
        <f t="shared" si="86"/>
        <v>1.2695853528266271E-2</v>
      </c>
      <c r="T50" s="42">
        <f t="shared" si="86"/>
        <v>1.2695853528266271E-2</v>
      </c>
      <c r="U50" s="42">
        <f t="shared" si="86"/>
        <v>1.2695853528266271E-2</v>
      </c>
      <c r="V50" s="42">
        <f t="shared" si="86"/>
        <v>1.2695853528266271E-2</v>
      </c>
      <c r="W50" s="42">
        <f t="shared" si="86"/>
        <v>1.2695853528266271E-2</v>
      </c>
      <c r="X50" s="42">
        <f t="shared" si="86"/>
        <v>1.2695853528266271E-2</v>
      </c>
    </row>
    <row r="51" spans="1:24" x14ac:dyDescent="0.3">
      <c r="B51" s="10"/>
    </row>
    <row r="52" spans="1:24" x14ac:dyDescent="0.3">
      <c r="A52" s="10"/>
    </row>
    <row r="53" spans="1:24" x14ac:dyDescent="0.3">
      <c r="B53" s="44" t="s">
        <v>70</v>
      </c>
      <c r="C53" s="45"/>
      <c r="D53" s="45"/>
      <c r="E53" s="132"/>
      <c r="F53" s="132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5" spans="1:24" x14ac:dyDescent="0.3">
      <c r="B55" s="46" t="s">
        <v>71</v>
      </c>
      <c r="C55" s="47"/>
      <c r="D55" s="47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</row>
    <row r="57" spans="1:24" x14ac:dyDescent="0.3">
      <c r="B57" t="s">
        <v>72</v>
      </c>
    </row>
    <row r="59" spans="1:24" x14ac:dyDescent="0.3">
      <c r="B59" t="s">
        <v>73</v>
      </c>
      <c r="C59" s="6" t="s">
        <v>55</v>
      </c>
      <c r="G59" s="38">
        <v>18614</v>
      </c>
      <c r="H59" s="38">
        <v>19193</v>
      </c>
      <c r="I59" s="38">
        <v>19949</v>
      </c>
      <c r="J59" s="38">
        <v>20581</v>
      </c>
      <c r="K59" s="38">
        <v>21104</v>
      </c>
      <c r="L59" s="38">
        <f t="shared" ref="L59:X59" si="87">+L61*L19</f>
        <v>25171.504369600294</v>
      </c>
      <c r="M59" s="38">
        <f t="shared" si="87"/>
        <v>21665.640942091461</v>
      </c>
      <c r="N59" s="38">
        <f t="shared" si="87"/>
        <v>24075.884116788748</v>
      </c>
      <c r="O59" s="38">
        <f t="shared" si="87"/>
        <v>25748.715243884948</v>
      </c>
      <c r="P59" s="38">
        <f t="shared" si="87"/>
        <v>27739.812689468879</v>
      </c>
      <c r="Q59" s="38">
        <f t="shared" si="87"/>
        <v>31660.120507154465</v>
      </c>
      <c r="R59" s="38">
        <f t="shared" si="87"/>
        <v>32679.186373638026</v>
      </c>
      <c r="S59" s="38">
        <f t="shared" si="87"/>
        <v>58088.761776359759</v>
      </c>
      <c r="T59" s="38">
        <f t="shared" si="87"/>
        <v>59281.990554035248</v>
      </c>
      <c r="U59" s="38">
        <f t="shared" si="87"/>
        <v>60256.577261430306</v>
      </c>
      <c r="V59" s="38">
        <f t="shared" si="87"/>
        <v>61272.855116703715</v>
      </c>
      <c r="W59" s="38">
        <f t="shared" si="87"/>
        <v>62311.387003899137</v>
      </c>
      <c r="X59" s="38">
        <f t="shared" si="87"/>
        <v>63290.388030940405</v>
      </c>
    </row>
    <row r="60" spans="1:24" x14ac:dyDescent="0.3">
      <c r="B60" t="s">
        <v>74</v>
      </c>
      <c r="C60" s="6" t="s">
        <v>55</v>
      </c>
      <c r="G60" s="38">
        <f>+G59-17908</f>
        <v>706</v>
      </c>
      <c r="H60" s="38">
        <f>+H59-18614</f>
        <v>579</v>
      </c>
      <c r="I60" s="38">
        <f t="shared" ref="I60:X60" si="88">+I59-H59</f>
        <v>756</v>
      </c>
      <c r="J60" s="38">
        <f t="shared" si="88"/>
        <v>632</v>
      </c>
      <c r="K60" s="38">
        <f t="shared" si="88"/>
        <v>523</v>
      </c>
      <c r="L60" s="38">
        <f t="shared" si="88"/>
        <v>4067.504369600294</v>
      </c>
      <c r="M60" s="38">
        <f t="shared" si="88"/>
        <v>-3505.8634275088334</v>
      </c>
      <c r="N60" s="38">
        <f t="shared" si="88"/>
        <v>2410.243174697287</v>
      </c>
      <c r="O60" s="38">
        <f t="shared" si="88"/>
        <v>1672.8311270962004</v>
      </c>
      <c r="P60" s="38">
        <f t="shared" si="88"/>
        <v>1991.0974455839314</v>
      </c>
      <c r="Q60" s="38">
        <f t="shared" si="88"/>
        <v>3920.3078176855852</v>
      </c>
      <c r="R60" s="38">
        <f t="shared" si="88"/>
        <v>1019.065866483561</v>
      </c>
      <c r="S60" s="38">
        <f t="shared" si="88"/>
        <v>25409.575402721734</v>
      </c>
      <c r="T60" s="38">
        <f t="shared" si="88"/>
        <v>1193.2287776754893</v>
      </c>
      <c r="U60" s="38">
        <f t="shared" si="88"/>
        <v>974.5867073950576</v>
      </c>
      <c r="V60" s="38">
        <f t="shared" si="88"/>
        <v>1016.2778552734089</v>
      </c>
      <c r="W60" s="38">
        <f t="shared" si="88"/>
        <v>1038.5318871954223</v>
      </c>
      <c r="X60" s="38">
        <f t="shared" si="88"/>
        <v>979.00102704126766</v>
      </c>
    </row>
    <row r="61" spans="1:24" s="84" customFormat="1" x14ac:dyDescent="0.3">
      <c r="B61" s="32" t="s">
        <v>75</v>
      </c>
      <c r="C61" s="31" t="s">
        <v>12</v>
      </c>
      <c r="G61" s="85">
        <f>+G59/G19</f>
        <v>2.3311500457112801</v>
      </c>
      <c r="H61" s="85">
        <f>+H59/H19</f>
        <v>1.7553342296119478</v>
      </c>
      <c r="I61" s="85">
        <f>+I59/I19</f>
        <v>1.9853899819862857</v>
      </c>
      <c r="J61" s="85">
        <f>+J59/J19</f>
        <v>2.0797712160714648</v>
      </c>
      <c r="K61" s="85">
        <f>+K59/K19</f>
        <v>1.8458201409904316</v>
      </c>
      <c r="L61" s="85">
        <v>1.8458201409904316</v>
      </c>
      <c r="M61" s="85">
        <v>1.8458201409904316</v>
      </c>
      <c r="N61" s="85">
        <v>1.8458201409904316</v>
      </c>
      <c r="O61" s="85">
        <v>1.8458201409904316</v>
      </c>
      <c r="P61" s="85">
        <v>1.8458201409904316</v>
      </c>
      <c r="Q61" s="85">
        <v>1.8458201409904316</v>
      </c>
      <c r="R61" s="85">
        <v>1.8458201409904316</v>
      </c>
      <c r="S61" s="85">
        <v>1.8458201409904316</v>
      </c>
      <c r="T61" s="85">
        <v>1.8458201409904316</v>
      </c>
      <c r="U61" s="85">
        <v>1.8458201409904316</v>
      </c>
      <c r="V61" s="85">
        <v>1.8458201409904316</v>
      </c>
      <c r="W61" s="85">
        <v>1.8458201409904316</v>
      </c>
      <c r="X61" s="85">
        <v>1.8458201409904316</v>
      </c>
    </row>
    <row r="62" spans="1:24" x14ac:dyDescent="0.3">
      <c r="B62" t="s">
        <v>76</v>
      </c>
      <c r="C62" s="6" t="s">
        <v>55</v>
      </c>
      <c r="G62" s="38">
        <v>143</v>
      </c>
      <c r="H62" s="38">
        <v>138</v>
      </c>
      <c r="I62" s="38">
        <v>135</v>
      </c>
      <c r="J62" s="38">
        <v>130</v>
      </c>
      <c r="K62" s="38">
        <v>125</v>
      </c>
      <c r="L62" s="38">
        <f t="shared" ref="L62:X62" si="89">+L19*L64</f>
        <v>170.48746749056085</v>
      </c>
      <c r="M62" s="38">
        <f t="shared" si="89"/>
        <v>143.08843027692009</v>
      </c>
      <c r="N62" s="38">
        <f t="shared" si="89"/>
        <v>154.89201042236346</v>
      </c>
      <c r="O62" s="38">
        <f t="shared" si="89"/>
        <v>170.03525161966255</v>
      </c>
      <c r="P62" s="38">
        <f t="shared" si="89"/>
        <v>181.61742094477606</v>
      </c>
      <c r="Q62" s="38">
        <f t="shared" si="89"/>
        <v>206.68051488048428</v>
      </c>
      <c r="R62" s="38">
        <f t="shared" si="89"/>
        <v>214.36367935176162</v>
      </c>
      <c r="S62" s="38">
        <f t="shared" si="89"/>
        <v>380.18934807248866</v>
      </c>
      <c r="T62" s="38">
        <f t="shared" si="89"/>
        <v>387.95546551644486</v>
      </c>
      <c r="U62" s="38">
        <f t="shared" si="89"/>
        <v>394.65748457840544</v>
      </c>
      <c r="V62" s="38">
        <f t="shared" si="89"/>
        <v>401.10900792585898</v>
      </c>
      <c r="W62" s="38">
        <f t="shared" si="89"/>
        <v>407.9345940851407</v>
      </c>
      <c r="X62" s="38">
        <f t="shared" si="89"/>
        <v>414.39598238668668</v>
      </c>
    </row>
    <row r="63" spans="1:24" x14ac:dyDescent="0.3">
      <c r="B63" t="s">
        <v>77</v>
      </c>
      <c r="C63" s="6" t="s">
        <v>55</v>
      </c>
      <c r="G63" s="38">
        <f>+G62-148</f>
        <v>-5</v>
      </c>
      <c r="H63" s="38">
        <f>+H62-G62</f>
        <v>-5</v>
      </c>
      <c r="I63" s="38">
        <f t="shared" ref="I63:X63" si="90">+I62-H62</f>
        <v>-3</v>
      </c>
      <c r="J63" s="38">
        <f t="shared" si="90"/>
        <v>-5</v>
      </c>
      <c r="K63" s="38">
        <f t="shared" si="90"/>
        <v>-5</v>
      </c>
      <c r="L63" s="38">
        <f t="shared" si="90"/>
        <v>45.487467490560846</v>
      </c>
      <c r="M63" s="38">
        <f t="shared" si="90"/>
        <v>-27.399037213640753</v>
      </c>
      <c r="N63" s="38">
        <f t="shared" si="90"/>
        <v>11.803580145443362</v>
      </c>
      <c r="O63" s="38">
        <f t="shared" si="90"/>
        <v>15.143241197299091</v>
      </c>
      <c r="P63" s="38">
        <f t="shared" si="90"/>
        <v>11.582169325113512</v>
      </c>
      <c r="Q63" s="38">
        <f t="shared" si="90"/>
        <v>25.063093935708224</v>
      </c>
      <c r="R63" s="38">
        <f t="shared" si="90"/>
        <v>7.6831644712773368</v>
      </c>
      <c r="S63" s="38">
        <f t="shared" si="90"/>
        <v>165.82566872072704</v>
      </c>
      <c r="T63" s="38">
        <f t="shared" si="90"/>
        <v>7.7661174439562046</v>
      </c>
      <c r="U63" s="38">
        <f t="shared" si="90"/>
        <v>6.7020190619605842</v>
      </c>
      <c r="V63" s="38">
        <f t="shared" si="90"/>
        <v>6.4515233474535307</v>
      </c>
      <c r="W63" s="38">
        <f t="shared" si="90"/>
        <v>6.8255861592817269</v>
      </c>
      <c r="X63" s="38">
        <f t="shared" si="90"/>
        <v>6.4613883015459805</v>
      </c>
    </row>
    <row r="64" spans="1:24" s="30" customFormat="1" x14ac:dyDescent="0.3">
      <c r="B64" s="32" t="s">
        <v>75</v>
      </c>
      <c r="C64" s="31" t="s">
        <v>12</v>
      </c>
      <c r="D64" s="31"/>
      <c r="G64" s="42">
        <f>+G62/G19</f>
        <v>1.7908802865408458E-2</v>
      </c>
      <c r="H64" s="42">
        <f>+H62/H19</f>
        <v>1.262106620572338E-2</v>
      </c>
      <c r="I64" s="42">
        <f>+I62/I19</f>
        <v>1.3435643268742723E-2</v>
      </c>
      <c r="J64" s="42">
        <f>+J62/J19</f>
        <v>1.3136886355827725E-2</v>
      </c>
      <c r="K64" s="42">
        <f>+K62/K19</f>
        <v>1.0932880857837564E-2</v>
      </c>
      <c r="L64" s="42">
        <f>+AVERAGE(I64:K64)</f>
        <v>1.2501803494136004E-2</v>
      </c>
      <c r="M64" s="42">
        <f t="shared" ref="M64:X64" si="91">+AVERAGE(J64:L64)</f>
        <v>1.2190523569267099E-2</v>
      </c>
      <c r="N64" s="42">
        <f t="shared" si="91"/>
        <v>1.1875069307080223E-2</v>
      </c>
      <c r="O64" s="42">
        <f t="shared" si="91"/>
        <v>1.2189132123494442E-2</v>
      </c>
      <c r="P64" s="42">
        <f t="shared" si="91"/>
        <v>1.2084908333280589E-2</v>
      </c>
      <c r="Q64" s="42">
        <f t="shared" si="91"/>
        <v>1.2049703254618419E-2</v>
      </c>
      <c r="R64" s="42">
        <f t="shared" si="91"/>
        <v>1.2107914570464484E-2</v>
      </c>
      <c r="S64" s="42">
        <f t="shared" si="91"/>
        <v>1.2080842052787831E-2</v>
      </c>
      <c r="T64" s="42">
        <f t="shared" si="91"/>
        <v>1.2079486625956912E-2</v>
      </c>
      <c r="U64" s="42">
        <f t="shared" si="91"/>
        <v>1.2089414416403077E-2</v>
      </c>
      <c r="V64" s="42">
        <f t="shared" si="91"/>
        <v>1.2083247698382607E-2</v>
      </c>
      <c r="W64" s="42">
        <f t="shared" si="91"/>
        <v>1.2084049580247532E-2</v>
      </c>
      <c r="X64" s="42">
        <f t="shared" si="91"/>
        <v>1.2085570565011071E-2</v>
      </c>
    </row>
    <row r="66" spans="2:24" x14ac:dyDescent="0.3">
      <c r="B66" t="s">
        <v>78</v>
      </c>
      <c r="C66" s="6" t="s">
        <v>55</v>
      </c>
    </row>
    <row r="67" spans="2:24" x14ac:dyDescent="0.3">
      <c r="B67" t="s">
        <v>75</v>
      </c>
      <c r="C67" s="6" t="s">
        <v>12</v>
      </c>
    </row>
    <row r="69" spans="2:24" x14ac:dyDescent="0.3">
      <c r="B69" s="46" t="s">
        <v>79</v>
      </c>
      <c r="C69" s="47"/>
      <c r="D69" s="47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</row>
    <row r="71" spans="2:24" x14ac:dyDescent="0.3">
      <c r="B71" t="s">
        <v>80</v>
      </c>
      <c r="C71" s="6" t="s">
        <v>55</v>
      </c>
      <c r="G71" s="38">
        <f>+G59</f>
        <v>18614</v>
      </c>
      <c r="H71" s="38">
        <f t="shared" ref="H71:X71" si="92">+H59</f>
        <v>19193</v>
      </c>
      <c r="I71" s="38">
        <f t="shared" si="92"/>
        <v>19949</v>
      </c>
      <c r="J71" s="38">
        <f t="shared" si="92"/>
        <v>20581</v>
      </c>
      <c r="K71" s="38">
        <f t="shared" si="92"/>
        <v>21104</v>
      </c>
      <c r="L71" s="38">
        <f t="shared" si="92"/>
        <v>25171.504369600294</v>
      </c>
      <c r="M71" s="38">
        <f t="shared" si="92"/>
        <v>21665.640942091461</v>
      </c>
      <c r="N71" s="38">
        <f t="shared" si="92"/>
        <v>24075.884116788748</v>
      </c>
      <c r="O71" s="38">
        <f t="shared" si="92"/>
        <v>25748.715243884948</v>
      </c>
      <c r="P71" s="38">
        <f t="shared" si="92"/>
        <v>27739.812689468879</v>
      </c>
      <c r="Q71" s="38">
        <f t="shared" si="92"/>
        <v>31660.120507154465</v>
      </c>
      <c r="R71" s="38">
        <f t="shared" si="92"/>
        <v>32679.186373638026</v>
      </c>
      <c r="S71" s="38">
        <f t="shared" si="92"/>
        <v>58088.761776359759</v>
      </c>
      <c r="T71" s="38">
        <f t="shared" si="92"/>
        <v>59281.990554035248</v>
      </c>
      <c r="U71" s="38">
        <f t="shared" si="92"/>
        <v>60256.577261430306</v>
      </c>
      <c r="V71" s="38">
        <f t="shared" si="92"/>
        <v>61272.855116703715</v>
      </c>
      <c r="W71" s="38">
        <f t="shared" si="92"/>
        <v>62311.387003899137</v>
      </c>
      <c r="X71" s="38">
        <f t="shared" si="92"/>
        <v>63290.388030940405</v>
      </c>
    </row>
    <row r="72" spans="2:24" x14ac:dyDescent="0.3"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2:24" x14ac:dyDescent="0.3">
      <c r="B73" t="s">
        <v>81</v>
      </c>
      <c r="C73" s="6" t="s">
        <v>55</v>
      </c>
      <c r="G73" s="38">
        <v>8177</v>
      </c>
      <c r="H73" s="38">
        <v>8812</v>
      </c>
      <c r="I73" s="38">
        <v>9501</v>
      </c>
      <c r="J73" s="38">
        <v>10003</v>
      </c>
      <c r="K73" s="38">
        <v>10481</v>
      </c>
      <c r="L73" s="38">
        <f>+K73+L74</f>
        <v>11243.788183981891</v>
      </c>
      <c r="M73" s="38">
        <f t="shared" ref="M73:X73" si="93">+L73+M74</f>
        <v>11900.335947928035</v>
      </c>
      <c r="N73" s="38">
        <f t="shared" si="93"/>
        <v>12629.922851179752</v>
      </c>
      <c r="O73" s="38">
        <f t="shared" si="93"/>
        <v>13410.202625179676</v>
      </c>
      <c r="P73" s="38">
        <f t="shared" si="93"/>
        <v>14250.819897580459</v>
      </c>
      <c r="Q73" s="38">
        <f t="shared" si="93"/>
        <v>15210.236763243291</v>
      </c>
      <c r="R73" s="38">
        <f t="shared" si="93"/>
        <v>16200.535033141608</v>
      </c>
      <c r="S73" s="38">
        <f t="shared" si="93"/>
        <v>17960.835905689328</v>
      </c>
      <c r="T73" s="38">
        <f t="shared" si="93"/>
        <v>19757.295952477631</v>
      </c>
      <c r="U73" s="38">
        <f t="shared" si="93"/>
        <v>21583.289523117</v>
      </c>
      <c r="V73" s="38">
        <f t="shared" si="93"/>
        <v>23440.08001110634</v>
      </c>
      <c r="W73" s="38">
        <f t="shared" si="93"/>
        <v>25328.341794597502</v>
      </c>
      <c r="X73" s="38">
        <f t="shared" si="93"/>
        <v>27246.270871889152</v>
      </c>
    </row>
    <row r="74" spans="2:24" x14ac:dyDescent="0.3">
      <c r="B74" t="s">
        <v>82</v>
      </c>
      <c r="G74" s="38">
        <f>+G73-7491</f>
        <v>686</v>
      </c>
      <c r="H74" s="38">
        <f t="shared" ref="H74:J74" si="94">+H73-G73</f>
        <v>635</v>
      </c>
      <c r="I74" s="38">
        <f t="shared" si="94"/>
        <v>689</v>
      </c>
      <c r="J74" s="38">
        <f t="shared" si="94"/>
        <v>502</v>
      </c>
      <c r="K74" s="38">
        <f>+K73-J73</f>
        <v>478</v>
      </c>
      <c r="L74" s="38">
        <f>+L71*L76</f>
        <v>762.78818398189094</v>
      </c>
      <c r="M74" s="38">
        <f t="shared" ref="M74:X74" si="95">+M71*M76</f>
        <v>656.54776394614339</v>
      </c>
      <c r="N74" s="38">
        <f t="shared" si="95"/>
        <v>729.58690325171699</v>
      </c>
      <c r="O74" s="38">
        <f t="shared" si="95"/>
        <v>780.2797739999246</v>
      </c>
      <c r="P74" s="38">
        <f t="shared" si="95"/>
        <v>840.61727240078267</v>
      </c>
      <c r="Q74" s="38">
        <f t="shared" si="95"/>
        <v>959.41686566283136</v>
      </c>
      <c r="R74" s="38">
        <f t="shared" si="95"/>
        <v>990.29826989831736</v>
      </c>
      <c r="S74" s="38">
        <f t="shared" si="95"/>
        <v>1760.30087254772</v>
      </c>
      <c r="T74" s="38">
        <f t="shared" si="95"/>
        <v>1796.4600467883047</v>
      </c>
      <c r="U74" s="38">
        <f t="shared" si="95"/>
        <v>1825.9935706393694</v>
      </c>
      <c r="V74" s="38">
        <f t="shared" si="95"/>
        <v>1856.7904879893404</v>
      </c>
      <c r="W74" s="38">
        <f t="shared" si="95"/>
        <v>1888.2617834911619</v>
      </c>
      <c r="X74" s="38">
        <f t="shared" si="95"/>
        <v>1917.9290772916504</v>
      </c>
    </row>
    <row r="76" spans="2:24" x14ac:dyDescent="0.3">
      <c r="B76" t="s">
        <v>83</v>
      </c>
      <c r="G76" s="83">
        <f>+G74/G71</f>
        <v>3.685398087461051E-2</v>
      </c>
      <c r="H76" s="83">
        <f t="shared" ref="H76:K76" si="96">+H74/H71</f>
        <v>3.3084978898556765E-2</v>
      </c>
      <c r="I76" s="83">
        <f t="shared" si="96"/>
        <v>3.4538072083813723E-2</v>
      </c>
      <c r="J76" s="83">
        <f t="shared" si="96"/>
        <v>2.4391428987901462E-2</v>
      </c>
      <c r="K76" s="83">
        <f t="shared" si="96"/>
        <v>2.2649734647460198E-2</v>
      </c>
      <c r="L76" s="83">
        <f>+AVERAGE($G$76:$K$76)</f>
        <v>3.0303639098468532E-2</v>
      </c>
      <c r="M76" s="83">
        <f t="shared" ref="M76:X76" si="97">+AVERAGE($G$76:$K$76)</f>
        <v>3.0303639098468532E-2</v>
      </c>
      <c r="N76" s="83">
        <f t="shared" si="97"/>
        <v>3.0303639098468532E-2</v>
      </c>
      <c r="O76" s="83">
        <f t="shared" si="97"/>
        <v>3.0303639098468532E-2</v>
      </c>
      <c r="P76" s="83">
        <f t="shared" si="97"/>
        <v>3.0303639098468532E-2</v>
      </c>
      <c r="Q76" s="83">
        <f t="shared" si="97"/>
        <v>3.0303639098468532E-2</v>
      </c>
      <c r="R76" s="83">
        <f t="shared" si="97"/>
        <v>3.0303639098468532E-2</v>
      </c>
      <c r="S76" s="83">
        <f t="shared" si="97"/>
        <v>3.0303639098468532E-2</v>
      </c>
      <c r="T76" s="83">
        <f t="shared" si="97"/>
        <v>3.0303639098468532E-2</v>
      </c>
      <c r="U76" s="83">
        <f t="shared" si="97"/>
        <v>3.0303639098468532E-2</v>
      </c>
      <c r="V76" s="83">
        <f t="shared" si="97"/>
        <v>3.0303639098468532E-2</v>
      </c>
      <c r="W76" s="83">
        <f t="shared" si="97"/>
        <v>3.0303639098468532E-2</v>
      </c>
      <c r="X76" s="83">
        <f t="shared" si="97"/>
        <v>3.0303639098468532E-2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156E-1276-439F-B68A-19D550C4AB2E}">
  <dimension ref="B1:X76"/>
  <sheetViews>
    <sheetView showGridLines="0" zoomScale="80" zoomScaleNormal="80" workbookViewId="0">
      <selection activeCell="AO19" sqref="AO19"/>
    </sheetView>
  </sheetViews>
  <sheetFormatPr baseColWidth="10" defaultColWidth="8.88671875" defaultRowHeight="14.4" x14ac:dyDescent="0.3"/>
  <cols>
    <col min="2" max="2" width="25" customWidth="1"/>
    <col min="3" max="3" width="16.33203125" style="6" customWidth="1"/>
    <col min="4" max="4" width="31" customWidth="1"/>
    <col min="5" max="6" width="9.109375"/>
    <col min="7" max="7" width="15.109375" bestFit="1" customWidth="1"/>
    <col min="8" max="10" width="13.109375" bestFit="1" customWidth="1"/>
    <col min="11" max="11" width="13.109375" customWidth="1"/>
    <col min="12" max="12" width="10.109375" bestFit="1" customWidth="1"/>
    <col min="13" max="13" width="13.44140625" bestFit="1" customWidth="1"/>
    <col min="14" max="22" width="13.109375" bestFit="1" customWidth="1"/>
    <col min="23" max="23" width="12.33203125" customWidth="1"/>
    <col min="24" max="24" width="13.109375" bestFit="1" customWidth="1"/>
  </cols>
  <sheetData>
    <row r="1" spans="2:24" x14ac:dyDescent="0.3">
      <c r="D1" s="6"/>
    </row>
    <row r="2" spans="2:24" ht="15.6" x14ac:dyDescent="0.3">
      <c r="B2" s="128" t="s">
        <v>6</v>
      </c>
      <c r="D2" s="6"/>
    </row>
    <row r="3" spans="2:24" ht="15.6" x14ac:dyDescent="0.3">
      <c r="B3" s="129" t="s">
        <v>2</v>
      </c>
      <c r="D3" s="6"/>
    </row>
    <row r="4" spans="2:24" ht="15.6" x14ac:dyDescent="0.3">
      <c r="B4" s="127" t="s">
        <v>84</v>
      </c>
      <c r="D4" s="6"/>
      <c r="G4" s="37">
        <v>2020</v>
      </c>
      <c r="H4" s="37">
        <v>2021</v>
      </c>
      <c r="I4" s="37">
        <v>2022</v>
      </c>
      <c r="J4" s="37">
        <v>2023</v>
      </c>
      <c r="K4" s="37">
        <v>2024</v>
      </c>
      <c r="L4" s="37">
        <v>2025</v>
      </c>
      <c r="M4" s="37">
        <v>2026</v>
      </c>
      <c r="N4" s="37">
        <v>2027</v>
      </c>
      <c r="O4" s="37">
        <v>2028</v>
      </c>
      <c r="P4" s="37">
        <v>2029</v>
      </c>
      <c r="Q4" s="37">
        <v>2030</v>
      </c>
      <c r="R4" s="37">
        <v>2031</v>
      </c>
      <c r="S4" s="37">
        <v>2032</v>
      </c>
      <c r="T4" s="37">
        <v>2033</v>
      </c>
      <c r="U4" s="37">
        <v>2034</v>
      </c>
      <c r="V4" s="37">
        <v>2035</v>
      </c>
      <c r="W4" s="37">
        <v>2036</v>
      </c>
      <c r="X4" s="37">
        <v>2037</v>
      </c>
    </row>
    <row r="5" spans="2:24" x14ac:dyDescent="0.3">
      <c r="D5" s="6"/>
    </row>
    <row r="6" spans="2:24" x14ac:dyDescent="0.3">
      <c r="B6" s="3" t="s">
        <v>85</v>
      </c>
      <c r="C6" s="7" t="s">
        <v>9</v>
      </c>
      <c r="D6" s="7" t="s">
        <v>10</v>
      </c>
      <c r="E6" s="132"/>
      <c r="F6" s="13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2:24" s="8" customFormat="1" x14ac:dyDescent="0.3">
      <c r="B7" s="8" t="s">
        <v>86</v>
      </c>
      <c r="C7" s="29" t="s">
        <v>55</v>
      </c>
      <c r="D7" s="29"/>
      <c r="G7" s="68">
        <v>7984.9</v>
      </c>
      <c r="H7" s="68">
        <v>10934.1</v>
      </c>
      <c r="I7" s="68">
        <v>10047.9</v>
      </c>
      <c r="J7" s="68">
        <v>9895.7999999999993</v>
      </c>
      <c r="K7" s="68">
        <v>11433.4</v>
      </c>
      <c r="L7" s="147">
        <f>+(L12*L73+L35*L74+L50*L75+L60*L76)/1000</f>
        <v>13637.029854974791</v>
      </c>
      <c r="M7" s="147">
        <f t="shared" ref="M7:X7" si="0">+(M12*M73+M35*M74+M50*M75+M60*M76)/1000</f>
        <v>11737.677177184823</v>
      </c>
      <c r="N7" s="147">
        <f t="shared" si="0"/>
        <v>13043.461593105216</v>
      </c>
      <c r="O7" s="147">
        <f t="shared" si="0"/>
        <v>13949.742270158935</v>
      </c>
      <c r="P7" s="147">
        <f t="shared" si="0"/>
        <v>15028.44837015606</v>
      </c>
      <c r="Q7" s="147">
        <f t="shared" si="0"/>
        <v>17152.332344887218</v>
      </c>
      <c r="R7" s="147">
        <f t="shared" si="0"/>
        <v>17704.426150699062</v>
      </c>
      <c r="S7" s="147">
        <f t="shared" si="0"/>
        <v>31470.434462368823</v>
      </c>
      <c r="T7" s="147">
        <f t="shared" si="0"/>
        <v>32116.883567120291</v>
      </c>
      <c r="U7" s="147">
        <f t="shared" si="0"/>
        <v>32644.880139349756</v>
      </c>
      <c r="V7" s="147">
        <f t="shared" si="0"/>
        <v>33195.463499399179</v>
      </c>
      <c r="W7" s="147">
        <f t="shared" si="0"/>
        <v>33758.103306026365</v>
      </c>
      <c r="X7" s="147">
        <f t="shared" si="0"/>
        <v>34288.491400348466</v>
      </c>
    </row>
    <row r="8" spans="2:24" s="30" customFormat="1" x14ac:dyDescent="0.3">
      <c r="B8" s="32" t="s">
        <v>87</v>
      </c>
      <c r="C8" s="31" t="s">
        <v>12</v>
      </c>
      <c r="D8" s="31"/>
      <c r="G8" s="33">
        <f>+(G7/10934)-1</f>
        <v>-0.26971830985915501</v>
      </c>
      <c r="H8" s="33">
        <f>+(H7/G7)-1</f>
        <v>0.36934714273190661</v>
      </c>
      <c r="I8" s="33">
        <f t="shared" ref="I8:K8" si="1">+(I7/H7)-1</f>
        <v>-8.1049194721101947E-2</v>
      </c>
      <c r="J8" s="33">
        <f t="shared" si="1"/>
        <v>-1.5137491416116866E-2</v>
      </c>
      <c r="K8" s="33">
        <f t="shared" si="1"/>
        <v>0.15537904969785177</v>
      </c>
      <c r="L8" s="33">
        <f t="shared" ref="L8" si="2">+(L7/10934)-1</f>
        <v>0.24721326641437646</v>
      </c>
      <c r="M8" s="33">
        <f t="shared" ref="M8" si="3">+(M7/L7)-1</f>
        <v>-0.13927905841586785</v>
      </c>
      <c r="N8" s="33">
        <f t="shared" ref="N8" si="4">+(N7/M7)-1</f>
        <v>0.11124725924977041</v>
      </c>
      <c r="O8" s="33">
        <f t="shared" ref="O8" si="5">+(O7/N7)-1</f>
        <v>6.9481607362019693E-2</v>
      </c>
      <c r="P8" s="33">
        <f t="shared" ref="P8" si="6">+(P7/O7)-1</f>
        <v>7.7328030805606796E-2</v>
      </c>
      <c r="Q8" s="33">
        <f t="shared" ref="Q8" si="7">+(Q7/10934)-1</f>
        <v>0.56871523183530437</v>
      </c>
      <c r="R8" s="33">
        <f t="shared" ref="R8" si="8">+(R7/Q7)-1</f>
        <v>3.2187681226711673E-2</v>
      </c>
      <c r="S8" s="33">
        <f t="shared" ref="S8" si="9">+(S7/R7)-1</f>
        <v>0.77754614549459466</v>
      </c>
      <c r="T8" s="33">
        <f t="shared" ref="T8" si="10">+(T7/S7)-1</f>
        <v>2.0541473792631271E-2</v>
      </c>
      <c r="U8" s="33">
        <f t="shared" ref="U8" si="11">+(U7/T7)-1</f>
        <v>1.643984451748004E-2</v>
      </c>
      <c r="V8" s="33">
        <f t="shared" ref="V8" si="12">+(V7/10934)-1</f>
        <v>2.0359853209620615</v>
      </c>
      <c r="W8" s="33">
        <f t="shared" ref="W8" si="13">+(W7/V7)-1</f>
        <v>1.6949298106271993E-2</v>
      </c>
      <c r="X8" s="33">
        <f t="shared" ref="X8" si="14">+(X7/W7)-1</f>
        <v>1.5711430512371782E-2</v>
      </c>
    </row>
    <row r="9" spans="2:24" x14ac:dyDescent="0.3">
      <c r="D9" s="6"/>
      <c r="G9" s="18"/>
      <c r="H9" s="18"/>
      <c r="I9" s="18"/>
      <c r="J9" s="18"/>
      <c r="K9" s="18"/>
    </row>
    <row r="10" spans="2:24" x14ac:dyDescent="0.3">
      <c r="B10" s="3" t="s">
        <v>88</v>
      </c>
      <c r="C10" s="7" t="s">
        <v>9</v>
      </c>
      <c r="D10" s="7" t="s">
        <v>10</v>
      </c>
      <c r="E10" s="132"/>
      <c r="F10" s="13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2:24" ht="21" x14ac:dyDescent="0.4">
      <c r="B11" s="70" t="s">
        <v>89</v>
      </c>
      <c r="I11" s="49"/>
      <c r="J11" s="50"/>
      <c r="K11" s="49"/>
      <c r="L11" s="50"/>
      <c r="M11" s="49"/>
      <c r="N11" s="51"/>
    </row>
    <row r="12" spans="2:24" x14ac:dyDescent="0.3">
      <c r="B12" s="48" t="s">
        <v>90</v>
      </c>
      <c r="C12" s="47"/>
      <c r="D12" s="48"/>
      <c r="G12" s="71">
        <f t="shared" ref="G12:H12" si="15">+SUM(G15:G21)</f>
        <v>2207600</v>
      </c>
      <c r="H12" s="71">
        <f t="shared" si="15"/>
        <v>2112500</v>
      </c>
      <c r="I12" s="71">
        <f>+SUM(I15:I21)</f>
        <v>1972500</v>
      </c>
      <c r="J12" s="71">
        <f t="shared" ref="J12:X12" si="16">+SUM(J15:J21)</f>
        <v>2008400</v>
      </c>
      <c r="K12" s="71">
        <f t="shared" si="16"/>
        <v>2147000</v>
      </c>
      <c r="L12" s="71">
        <f t="shared" si="16"/>
        <v>2254350</v>
      </c>
      <c r="M12" s="71">
        <f t="shared" si="16"/>
        <v>2321980.5</v>
      </c>
      <c r="N12" s="71">
        <f t="shared" si="16"/>
        <v>2507738.94</v>
      </c>
      <c r="O12" s="71">
        <f t="shared" si="16"/>
        <v>2708358.0552000003</v>
      </c>
      <c r="P12" s="71">
        <f t="shared" si="16"/>
        <v>2925026.699616001</v>
      </c>
      <c r="Q12" s="71">
        <f t="shared" si="16"/>
        <v>3272777.50060448</v>
      </c>
      <c r="R12" s="71">
        <f t="shared" si="16"/>
        <v>3363160.8256226145</v>
      </c>
      <c r="S12" s="71">
        <f t="shared" si="16"/>
        <v>3952295.6503912932</v>
      </c>
      <c r="T12" s="71">
        <f t="shared" si="16"/>
        <v>4048183.3199030315</v>
      </c>
      <c r="U12" s="71">
        <f t="shared" si="16"/>
        <v>4146947.6195001225</v>
      </c>
      <c r="V12" s="71">
        <f t="shared" si="16"/>
        <v>4248674.8480851268</v>
      </c>
      <c r="W12" s="71">
        <f t="shared" si="16"/>
        <v>4353453.893527681</v>
      </c>
      <c r="X12" s="71">
        <f t="shared" si="16"/>
        <v>4461376.3103335118</v>
      </c>
    </row>
    <row r="13" spans="2:24" s="52" customFormat="1" x14ac:dyDescent="0.3">
      <c r="B13" s="56" t="s">
        <v>87</v>
      </c>
      <c r="C13" s="57" t="s">
        <v>12</v>
      </c>
      <c r="D13" s="56"/>
      <c r="E13" s="30"/>
      <c r="F13" s="30"/>
      <c r="G13" s="58">
        <f>+G12/2191000-1</f>
        <v>7.5764491099954423E-3</v>
      </c>
      <c r="H13" s="58">
        <f t="shared" ref="H13:J13" si="17">+H12/G12-1</f>
        <v>-4.3078456242072849E-2</v>
      </c>
      <c r="I13" s="58">
        <f t="shared" si="17"/>
        <v>-6.6272189349112387E-2</v>
      </c>
      <c r="J13" s="58">
        <f t="shared" si="17"/>
        <v>1.8200253485424644E-2</v>
      </c>
      <c r="K13" s="58">
        <f>+K12/J12-1</f>
        <v>6.9010157339175482E-2</v>
      </c>
      <c r="L13" s="58">
        <v>5.0000000000000044E-2</v>
      </c>
      <c r="M13" s="58">
        <v>3.0000000000000027E-2</v>
      </c>
      <c r="N13" s="58">
        <v>8.0000000000000071E-2</v>
      </c>
      <c r="O13" s="58">
        <v>8.0000000000000071E-2</v>
      </c>
      <c r="P13" s="58">
        <v>8.0000000000000071E-2</v>
      </c>
      <c r="Q13" s="58">
        <v>2.9999999999999805E-2</v>
      </c>
      <c r="R13" s="58">
        <v>3.0000000000000027E-2</v>
      </c>
      <c r="S13" s="58">
        <v>3.0000000000000027E-2</v>
      </c>
      <c r="T13" s="58">
        <v>2.9999999999999805E-2</v>
      </c>
      <c r="U13" s="58">
        <v>3.0000000000000027E-2</v>
      </c>
      <c r="V13" s="58">
        <v>3.0000000000000249E-2</v>
      </c>
      <c r="W13" s="58">
        <v>3.0000000000000249E-2</v>
      </c>
      <c r="X13" s="58">
        <v>2.9999999999999805E-2</v>
      </c>
    </row>
    <row r="14" spans="2:24" s="52" customFormat="1" x14ac:dyDescent="0.3">
      <c r="C14" s="53"/>
      <c r="E14"/>
      <c r="F1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</row>
    <row r="15" spans="2:24" s="52" customFormat="1" x14ac:dyDescent="0.3">
      <c r="B15" s="55" t="s">
        <v>91</v>
      </c>
      <c r="C15" s="6" t="s">
        <v>92</v>
      </c>
      <c r="E15"/>
      <c r="F15" s="40"/>
      <c r="G15" s="130">
        <v>562400</v>
      </c>
      <c r="H15" s="59">
        <v>505700</v>
      </c>
      <c r="I15" s="59">
        <v>444200</v>
      </c>
      <c r="J15" s="59">
        <v>495800</v>
      </c>
      <c r="K15" s="59">
        <v>549600</v>
      </c>
      <c r="L15" s="59">
        <f t="shared" ref="L15:X15" si="18">+K15*(1+L$24)</f>
        <v>577080</v>
      </c>
      <c r="M15" s="59">
        <f t="shared" si="18"/>
        <v>594392.4</v>
      </c>
      <c r="N15" s="59">
        <f t="shared" si="18"/>
        <v>641943.79200000002</v>
      </c>
      <c r="O15" s="59">
        <f t="shared" si="18"/>
        <v>693299.29536000011</v>
      </c>
      <c r="P15" s="59">
        <f t="shared" si="18"/>
        <v>748763.23898880021</v>
      </c>
      <c r="Q15" s="59">
        <f t="shared" si="18"/>
        <v>771226.13615846401</v>
      </c>
      <c r="R15" s="59">
        <f t="shared" si="18"/>
        <v>794362.92024321796</v>
      </c>
      <c r="S15" s="59">
        <f t="shared" si="18"/>
        <v>818193.80785051454</v>
      </c>
      <c r="T15" s="59">
        <f t="shared" si="18"/>
        <v>842739.62208602985</v>
      </c>
      <c r="U15" s="59">
        <f t="shared" si="18"/>
        <v>868021.81074861076</v>
      </c>
      <c r="V15" s="59">
        <f t="shared" si="18"/>
        <v>894062.46507106931</v>
      </c>
      <c r="W15" s="59">
        <f t="shared" si="18"/>
        <v>920884.33902320161</v>
      </c>
      <c r="X15" s="59">
        <f t="shared" si="18"/>
        <v>948510.86919389747</v>
      </c>
    </row>
    <row r="16" spans="2:24" s="52" customFormat="1" x14ac:dyDescent="0.3">
      <c r="B16" s="55" t="s">
        <v>93</v>
      </c>
      <c r="C16" s="6" t="s">
        <v>92</v>
      </c>
      <c r="E16"/>
      <c r="F16" s="40"/>
      <c r="G16" s="130">
        <v>371800</v>
      </c>
      <c r="H16" s="59">
        <v>372600</v>
      </c>
      <c r="I16" s="59">
        <v>309400</v>
      </c>
      <c r="J16" s="59">
        <v>329000</v>
      </c>
      <c r="K16" s="59">
        <v>363500</v>
      </c>
      <c r="L16" s="59">
        <f t="shared" ref="L16:X16" si="19">+K16*(1+L$24)</f>
        <v>381675</v>
      </c>
      <c r="M16" s="59">
        <f t="shared" si="19"/>
        <v>393125.25</v>
      </c>
      <c r="N16" s="59">
        <f t="shared" si="19"/>
        <v>424575.27</v>
      </c>
      <c r="O16" s="59">
        <f t="shared" si="19"/>
        <v>458541.29160000006</v>
      </c>
      <c r="P16" s="59">
        <f t="shared" si="19"/>
        <v>495224.59492800006</v>
      </c>
      <c r="Q16" s="59">
        <f t="shared" si="19"/>
        <v>510081.33277583995</v>
      </c>
      <c r="R16" s="59">
        <f t="shared" si="19"/>
        <v>525383.77275911521</v>
      </c>
      <c r="S16" s="59">
        <f t="shared" si="19"/>
        <v>541145.28594188869</v>
      </c>
      <c r="T16" s="59">
        <f t="shared" si="19"/>
        <v>557379.64452014526</v>
      </c>
      <c r="U16" s="59">
        <f t="shared" si="19"/>
        <v>574101.03385574964</v>
      </c>
      <c r="V16" s="59">
        <f t="shared" si="19"/>
        <v>591324.06487142225</v>
      </c>
      <c r="W16" s="59">
        <f t="shared" si="19"/>
        <v>609063.78681756509</v>
      </c>
      <c r="X16" s="59">
        <f t="shared" si="19"/>
        <v>627335.70042209188</v>
      </c>
    </row>
    <row r="17" spans="2:24" s="52" customFormat="1" x14ac:dyDescent="0.3">
      <c r="B17" s="55" t="s">
        <v>94</v>
      </c>
      <c r="C17" s="6" t="s">
        <v>92</v>
      </c>
      <c r="E17"/>
      <c r="F17" s="40"/>
      <c r="G17" s="130">
        <v>298800</v>
      </c>
      <c r="H17" s="59">
        <v>282400</v>
      </c>
      <c r="I17" s="59">
        <v>246500</v>
      </c>
      <c r="J17" s="59">
        <v>244300</v>
      </c>
      <c r="K17" s="59">
        <v>257900</v>
      </c>
      <c r="L17" s="59">
        <f t="shared" ref="L17:X17" si="20">+K17*(1+L$24)</f>
        <v>270795</v>
      </c>
      <c r="M17" s="59">
        <f t="shared" si="20"/>
        <v>278918.85000000003</v>
      </c>
      <c r="N17" s="59">
        <f t="shared" si="20"/>
        <v>301232.35800000007</v>
      </c>
      <c r="O17" s="59">
        <f t="shared" si="20"/>
        <v>325330.9466400001</v>
      </c>
      <c r="P17" s="59">
        <f t="shared" si="20"/>
        <v>351357.42237120011</v>
      </c>
      <c r="Q17" s="59">
        <f t="shared" si="20"/>
        <v>361898.14504233602</v>
      </c>
      <c r="R17" s="59">
        <f t="shared" si="20"/>
        <v>372755.08939360612</v>
      </c>
      <c r="S17" s="59">
        <f t="shared" si="20"/>
        <v>383937.74207541434</v>
      </c>
      <c r="T17" s="59">
        <f t="shared" si="20"/>
        <v>395455.87433767668</v>
      </c>
      <c r="U17" s="59">
        <f t="shared" si="20"/>
        <v>407319.55056780699</v>
      </c>
      <c r="V17" s="59">
        <f t="shared" si="20"/>
        <v>419539.13708484132</v>
      </c>
      <c r="W17" s="59">
        <f t="shared" si="20"/>
        <v>432125.31119738665</v>
      </c>
      <c r="X17" s="59">
        <f t="shared" si="20"/>
        <v>445089.07053330814</v>
      </c>
    </row>
    <row r="18" spans="2:24" s="52" customFormat="1" x14ac:dyDescent="0.3">
      <c r="B18" s="55" t="s">
        <v>95</v>
      </c>
      <c r="C18" s="6" t="s">
        <v>92</v>
      </c>
      <c r="E18"/>
      <c r="F18" s="40"/>
      <c r="G18" s="130">
        <v>951900</v>
      </c>
      <c r="H18" s="59">
        <v>932600</v>
      </c>
      <c r="I18" s="59">
        <v>952300</v>
      </c>
      <c r="J18" s="59">
        <v>918200</v>
      </c>
      <c r="K18" s="59">
        <v>954500</v>
      </c>
      <c r="L18" s="59">
        <f t="shared" ref="L18:X18" si="21">+K18*(1+L$24)</f>
        <v>1002225</v>
      </c>
      <c r="M18" s="59">
        <f t="shared" si="21"/>
        <v>1032291.75</v>
      </c>
      <c r="N18" s="59">
        <f t="shared" si="21"/>
        <v>1114875.0900000001</v>
      </c>
      <c r="O18" s="59">
        <f t="shared" si="21"/>
        <v>1204065.0972000002</v>
      </c>
      <c r="P18" s="59">
        <f t="shared" si="21"/>
        <v>1300390.3049760002</v>
      </c>
      <c r="Q18" s="59">
        <f t="shared" si="21"/>
        <v>1339402.0141252801</v>
      </c>
      <c r="R18" s="59">
        <f t="shared" si="21"/>
        <v>1379584.0745490384</v>
      </c>
      <c r="S18" s="59">
        <f t="shared" si="21"/>
        <v>1420971.5967855097</v>
      </c>
      <c r="T18" s="59">
        <f t="shared" si="21"/>
        <v>1463600.7446890748</v>
      </c>
      <c r="U18" s="59">
        <f t="shared" si="21"/>
        <v>1507508.7670297471</v>
      </c>
      <c r="V18" s="59">
        <f t="shared" si="21"/>
        <v>1552734.0300406399</v>
      </c>
      <c r="W18" s="59">
        <f t="shared" si="21"/>
        <v>1599316.0509418596</v>
      </c>
      <c r="X18" s="59">
        <f t="shared" si="21"/>
        <v>1647295.532470115</v>
      </c>
    </row>
    <row r="19" spans="2:24" s="52" customFormat="1" x14ac:dyDescent="0.3">
      <c r="B19" s="55" t="s">
        <v>96</v>
      </c>
      <c r="C19" s="6" t="s">
        <v>92</v>
      </c>
      <c r="E19"/>
      <c r="F19" s="40"/>
      <c r="G19" s="130">
        <v>22700</v>
      </c>
      <c r="H19" s="59">
        <v>19200</v>
      </c>
      <c r="I19" s="59">
        <v>20100</v>
      </c>
      <c r="J19" s="59">
        <v>21100</v>
      </c>
      <c r="K19" s="59">
        <v>21500</v>
      </c>
      <c r="L19" s="59">
        <f t="shared" ref="L19:X19" si="22">+K19*(1+L$24)</f>
        <v>22575</v>
      </c>
      <c r="M19" s="59">
        <f t="shared" si="22"/>
        <v>23252.25</v>
      </c>
      <c r="N19" s="59">
        <f t="shared" si="22"/>
        <v>25112.43</v>
      </c>
      <c r="O19" s="59">
        <f t="shared" si="22"/>
        <v>27121.424400000004</v>
      </c>
      <c r="P19" s="59">
        <f t="shared" si="22"/>
        <v>29291.138352000005</v>
      </c>
      <c r="Q19" s="59">
        <f t="shared" si="22"/>
        <v>30169.87250256</v>
      </c>
      <c r="R19" s="59">
        <f t="shared" si="22"/>
        <v>31074.9686776368</v>
      </c>
      <c r="S19" s="59">
        <f t="shared" si="22"/>
        <v>32007.217737965904</v>
      </c>
      <c r="T19" s="59">
        <f t="shared" si="22"/>
        <v>32967.434270104874</v>
      </c>
      <c r="U19" s="59">
        <f t="shared" si="22"/>
        <v>33956.457298208021</v>
      </c>
      <c r="V19" s="59">
        <f t="shared" si="22"/>
        <v>34975.151017154269</v>
      </c>
      <c r="W19" s="59">
        <f t="shared" si="22"/>
        <v>36024.405547668903</v>
      </c>
      <c r="X19" s="59">
        <f t="shared" si="22"/>
        <v>37105.137714098964</v>
      </c>
    </row>
    <row r="20" spans="2:24" s="52" customFormat="1" x14ac:dyDescent="0.3">
      <c r="B20" s="27" t="s">
        <v>97</v>
      </c>
      <c r="C20" s="6" t="s">
        <v>92</v>
      </c>
      <c r="E20"/>
      <c r="F20"/>
      <c r="G20" s="130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>
        <v>496040</v>
      </c>
      <c r="T20" s="59">
        <v>496040</v>
      </c>
      <c r="U20" s="59">
        <v>496040</v>
      </c>
      <c r="V20" s="59">
        <v>496040</v>
      </c>
      <c r="W20" s="59">
        <v>496040</v>
      </c>
      <c r="X20" s="59">
        <v>496040</v>
      </c>
    </row>
    <row r="21" spans="2:24" s="52" customFormat="1" x14ac:dyDescent="0.3">
      <c r="B21" s="27" t="s">
        <v>98</v>
      </c>
      <c r="C21" s="6" t="s">
        <v>92</v>
      </c>
      <c r="E21"/>
      <c r="F21"/>
      <c r="G21" s="130"/>
      <c r="H21" s="59"/>
      <c r="I21" s="59"/>
      <c r="J21" s="59"/>
      <c r="K21" s="59"/>
      <c r="L21" s="59"/>
      <c r="M21" s="59"/>
      <c r="N21" s="59"/>
      <c r="O21" s="59"/>
      <c r="P21" s="59"/>
      <c r="Q21" s="59">
        <v>260000</v>
      </c>
      <c r="R21" s="59">
        <v>260000</v>
      </c>
      <c r="S21" s="59">
        <v>260000</v>
      </c>
      <c r="T21" s="59">
        <v>260000</v>
      </c>
      <c r="U21" s="59">
        <v>260000</v>
      </c>
      <c r="V21" s="59">
        <v>260000</v>
      </c>
      <c r="W21" s="59">
        <v>260000</v>
      </c>
      <c r="X21" s="59">
        <v>260000</v>
      </c>
    </row>
    <row r="22" spans="2:24" s="52" customFormat="1" x14ac:dyDescent="0.3">
      <c r="B22" s="27"/>
      <c r="C22" s="53"/>
      <c r="E22"/>
      <c r="F22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</row>
    <row r="23" spans="2:24" s="75" customFormat="1" x14ac:dyDescent="0.3">
      <c r="B23" s="76" t="s">
        <v>99</v>
      </c>
      <c r="C23" s="77" t="s">
        <v>92</v>
      </c>
      <c r="D23" s="76"/>
      <c r="G23" s="78">
        <f>+SUM(G26:G32)</f>
        <v>1491908</v>
      </c>
      <c r="H23" s="78">
        <f t="shared" ref="H23:X23" si="23">+SUM(H26:H32)</f>
        <v>1401719</v>
      </c>
      <c r="I23" s="78">
        <f t="shared" si="23"/>
        <v>1495767</v>
      </c>
      <c r="J23" s="78">
        <f t="shared" si="23"/>
        <v>1419817</v>
      </c>
      <c r="K23" s="78">
        <f t="shared" si="23"/>
        <v>1403040</v>
      </c>
      <c r="L23" s="78">
        <f t="shared" si="23"/>
        <v>1473192</v>
      </c>
      <c r="M23" s="78">
        <f t="shared" si="23"/>
        <v>1517387.76</v>
      </c>
      <c r="N23" s="78">
        <f t="shared" si="23"/>
        <v>1638778.7808000001</v>
      </c>
      <c r="O23" s="78">
        <f>+SUM(O26:O32)</f>
        <v>1769881.0832640002</v>
      </c>
      <c r="P23" s="78">
        <f t="shared" si="23"/>
        <v>1911471.5699251206</v>
      </c>
      <c r="Q23" s="78">
        <f t="shared" si="23"/>
        <v>1968815.7170228739</v>
      </c>
      <c r="R23" s="78">
        <f t="shared" si="23"/>
        <v>2027880.1885335604</v>
      </c>
      <c r="S23" s="78">
        <f t="shared" si="23"/>
        <v>2088716.594189567</v>
      </c>
      <c r="T23" s="78">
        <f t="shared" si="23"/>
        <v>2151378.0920152538</v>
      </c>
      <c r="U23" s="78">
        <f t="shared" si="23"/>
        <v>2215919.4347757115</v>
      </c>
      <c r="V23" s="78">
        <f t="shared" si="23"/>
        <v>2282397.0178189832</v>
      </c>
      <c r="W23" s="78">
        <f t="shared" si="23"/>
        <v>2350868.9283535532</v>
      </c>
      <c r="X23" s="78">
        <f t="shared" si="23"/>
        <v>2421394.9962041592</v>
      </c>
    </row>
    <row r="24" spans="2:24" s="30" customFormat="1" x14ac:dyDescent="0.3">
      <c r="B24" s="32" t="s">
        <v>87</v>
      </c>
      <c r="C24" s="31" t="s">
        <v>12</v>
      </c>
      <c r="G24" s="42">
        <f>+(G23/1412329)-1</f>
        <v>5.6345936393007667E-2</v>
      </c>
      <c r="H24" s="42">
        <f>+(H23/G23)-1</f>
        <v>-6.045211903146841E-2</v>
      </c>
      <c r="I24" s="42">
        <f t="shared" ref="I24:K24" si="24">+(I23/H23)-1</f>
        <v>6.7094760076734428E-2</v>
      </c>
      <c r="J24" s="42">
        <f t="shared" si="24"/>
        <v>-5.077662496899582E-2</v>
      </c>
      <c r="K24" s="42">
        <f t="shared" si="24"/>
        <v>-1.181631153874052E-2</v>
      </c>
      <c r="L24" s="42">
        <f t="shared" ref="L24" si="25">+(L23/K23)-1</f>
        <v>5.0000000000000044E-2</v>
      </c>
      <c r="M24" s="42">
        <f t="shared" ref="M24" si="26">+(M23/L23)-1</f>
        <v>3.0000000000000027E-2</v>
      </c>
      <c r="N24" s="42">
        <f t="shared" ref="N24" si="27">+(N23/M23)-1</f>
        <v>8.0000000000000071E-2</v>
      </c>
      <c r="O24" s="42">
        <f>+(O23/N23)-1</f>
        <v>8.0000000000000071E-2</v>
      </c>
      <c r="P24" s="42">
        <f t="shared" ref="P24" si="28">+(P23/O23)-1</f>
        <v>8.0000000000000071E-2</v>
      </c>
      <c r="Q24" s="42">
        <f t="shared" ref="Q24" si="29">+(Q23/P23)-1</f>
        <v>2.9999999999999805E-2</v>
      </c>
      <c r="R24" s="42">
        <f t="shared" ref="R24" si="30">+(R23/Q23)-1</f>
        <v>3.0000000000000027E-2</v>
      </c>
      <c r="S24" s="42">
        <f t="shared" ref="S24" si="31">+(S23/R23)-1</f>
        <v>3.0000000000000027E-2</v>
      </c>
      <c r="T24" s="42">
        <f t="shared" ref="T24" si="32">+(T23/S23)-1</f>
        <v>2.9999999999999805E-2</v>
      </c>
      <c r="U24" s="42">
        <f t="shared" ref="U24" si="33">+(U23/T23)-1</f>
        <v>3.0000000000000027E-2</v>
      </c>
      <c r="V24" s="42">
        <f t="shared" ref="V24" si="34">+(V23/U23)-1</f>
        <v>3.0000000000000249E-2</v>
      </c>
      <c r="W24" s="42">
        <f t="shared" ref="W24" si="35">+(W23/V23)-1</f>
        <v>3.0000000000000249E-2</v>
      </c>
      <c r="X24" s="42">
        <f t="shared" ref="X24" si="36">+(X23/W23)-1</f>
        <v>2.9999999999999805E-2</v>
      </c>
    </row>
    <row r="26" spans="2:24" x14ac:dyDescent="0.3">
      <c r="B26" s="43" t="s">
        <v>100</v>
      </c>
    </row>
    <row r="27" spans="2:24" x14ac:dyDescent="0.3">
      <c r="B27" s="28" t="s">
        <v>101</v>
      </c>
      <c r="C27" s="6" t="s">
        <v>92</v>
      </c>
      <c r="G27" s="40">
        <v>631118</v>
      </c>
      <c r="H27" s="40">
        <v>573583</v>
      </c>
      <c r="I27" s="40">
        <v>638741</v>
      </c>
      <c r="J27" s="40">
        <v>638589</v>
      </c>
      <c r="K27" s="40">
        <v>634707</v>
      </c>
      <c r="L27" s="40">
        <f>+K27*1.05</f>
        <v>666442.35</v>
      </c>
      <c r="M27" s="40">
        <f>+L27*(1.03)</f>
        <v>686435.62049999996</v>
      </c>
      <c r="N27" s="40">
        <f t="shared" ref="N27:P27" si="37">+M27*(1.08)</f>
        <v>741350.47013999999</v>
      </c>
      <c r="O27" s="40">
        <f t="shared" si="37"/>
        <v>800658.5077512</v>
      </c>
      <c r="P27" s="40">
        <f t="shared" si="37"/>
        <v>864711.18837129604</v>
      </c>
      <c r="Q27" s="40">
        <f>+P27*(1.03)</f>
        <v>890652.52402243495</v>
      </c>
      <c r="R27" s="40">
        <f t="shared" ref="R27:X27" si="38">+Q27*(1.03)</f>
        <v>917372.09974310803</v>
      </c>
      <c r="S27" s="40">
        <f t="shared" si="38"/>
        <v>944893.26273540128</v>
      </c>
      <c r="T27" s="40">
        <f t="shared" si="38"/>
        <v>973240.06061746331</v>
      </c>
      <c r="U27" s="40">
        <f t="shared" si="38"/>
        <v>1002437.2624359872</v>
      </c>
      <c r="V27" s="40">
        <f t="shared" si="38"/>
        <v>1032510.3803090669</v>
      </c>
      <c r="W27" s="40">
        <f t="shared" si="38"/>
        <v>1063485.691718339</v>
      </c>
      <c r="X27" s="40">
        <f t="shared" si="38"/>
        <v>1095390.2624698891</v>
      </c>
    </row>
    <row r="28" spans="2:24" x14ac:dyDescent="0.3">
      <c r="B28" s="28" t="s">
        <v>102</v>
      </c>
      <c r="C28" s="6" t="s">
        <v>92</v>
      </c>
      <c r="G28" s="40">
        <v>57342</v>
      </c>
      <c r="H28" s="40">
        <v>56777</v>
      </c>
      <c r="I28" s="40">
        <v>58315</v>
      </c>
      <c r="J28" s="40">
        <v>55672</v>
      </c>
      <c r="K28" s="40">
        <v>53165</v>
      </c>
      <c r="L28" s="40">
        <f>+K28*1.05</f>
        <v>55823.25</v>
      </c>
      <c r="M28" s="40">
        <f>+L28*(1.03)</f>
        <v>57497.947500000002</v>
      </c>
      <c r="N28" s="40">
        <f t="shared" ref="N28:P28" si="39">+M28*(1.08)</f>
        <v>62097.783300000003</v>
      </c>
      <c r="O28" s="40">
        <f t="shared" si="39"/>
        <v>67065.605964000002</v>
      </c>
      <c r="P28" s="40">
        <f t="shared" si="39"/>
        <v>72430.854441120013</v>
      </c>
      <c r="Q28" s="40">
        <f>+P28*(1.03)</f>
        <v>74603.780074353621</v>
      </c>
      <c r="R28" s="40">
        <f t="shared" ref="R28:X28" si="40">+Q28*(1.03)</f>
        <v>76841.893476584228</v>
      </c>
      <c r="S28" s="40">
        <f t="shared" si="40"/>
        <v>79147.15028088176</v>
      </c>
      <c r="T28" s="40">
        <f t="shared" si="40"/>
        <v>81521.56478930822</v>
      </c>
      <c r="U28" s="40">
        <f t="shared" si="40"/>
        <v>83967.211732987475</v>
      </c>
      <c r="V28" s="40">
        <f t="shared" si="40"/>
        <v>86486.228084977105</v>
      </c>
      <c r="W28" s="40">
        <f t="shared" si="40"/>
        <v>89080.814927526415</v>
      </c>
      <c r="X28" s="40">
        <f t="shared" si="40"/>
        <v>91753.239375352205</v>
      </c>
    </row>
    <row r="29" spans="2:24" x14ac:dyDescent="0.3">
      <c r="B29" s="43" t="s">
        <v>103</v>
      </c>
      <c r="C29" s="6" t="s">
        <v>92</v>
      </c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</row>
    <row r="30" spans="2:24" x14ac:dyDescent="0.3">
      <c r="B30" s="28" t="s">
        <v>104</v>
      </c>
      <c r="C30" s="6" t="s">
        <v>92</v>
      </c>
      <c r="G30" s="40">
        <v>529997</v>
      </c>
      <c r="H30" s="40">
        <v>534980</v>
      </c>
      <c r="I30" s="40">
        <v>541600</v>
      </c>
      <c r="J30" s="40">
        <v>481841</v>
      </c>
      <c r="K30" s="40">
        <v>478701</v>
      </c>
      <c r="L30" s="40">
        <f t="shared" ref="L30:L32" si="41">+K30*1.05</f>
        <v>502636.05000000005</v>
      </c>
      <c r="M30" s="40">
        <f>+L30*(1.03)</f>
        <v>517715.13150000008</v>
      </c>
      <c r="N30" s="40">
        <f t="shared" ref="N30:P30" si="42">+M30*(1.08)</f>
        <v>559132.3420200001</v>
      </c>
      <c r="O30" s="40">
        <f t="shared" si="42"/>
        <v>603862.92938160012</v>
      </c>
      <c r="P30" s="40">
        <f t="shared" si="42"/>
        <v>652171.96373212815</v>
      </c>
      <c r="Q30" s="40">
        <f>+P30*(1.03)</f>
        <v>671737.12264409196</v>
      </c>
      <c r="R30" s="40">
        <f t="shared" ref="R30:X30" si="43">+Q30*(1.03)</f>
        <v>691889.23632341472</v>
      </c>
      <c r="S30" s="40">
        <f t="shared" si="43"/>
        <v>712645.91341311717</v>
      </c>
      <c r="T30" s="40">
        <f t="shared" si="43"/>
        <v>734025.29081551067</v>
      </c>
      <c r="U30" s="40">
        <f t="shared" si="43"/>
        <v>756046.04953997605</v>
      </c>
      <c r="V30" s="40">
        <f t="shared" si="43"/>
        <v>778727.43102617539</v>
      </c>
      <c r="W30" s="40">
        <f t="shared" si="43"/>
        <v>802089.25395696063</v>
      </c>
      <c r="X30" s="40">
        <f t="shared" si="43"/>
        <v>826151.93157566944</v>
      </c>
    </row>
    <row r="31" spans="2:24" x14ac:dyDescent="0.3">
      <c r="B31" s="28" t="s">
        <v>105</v>
      </c>
      <c r="C31" s="6" t="s">
        <v>92</v>
      </c>
      <c r="G31" s="40">
        <v>56981</v>
      </c>
      <c r="H31" s="40">
        <v>55942</v>
      </c>
      <c r="I31" s="40">
        <v>51449</v>
      </c>
      <c r="J31" s="40">
        <v>50691</v>
      </c>
      <c r="K31" s="40">
        <v>51257</v>
      </c>
      <c r="L31" s="40">
        <f t="shared" si="41"/>
        <v>53819.850000000006</v>
      </c>
      <c r="M31" s="40">
        <f>+L31*(1.03)</f>
        <v>55434.445500000009</v>
      </c>
      <c r="N31" s="40">
        <f t="shared" ref="N31:P31" si="44">+M31*(1.08)</f>
        <v>59869.201140000012</v>
      </c>
      <c r="O31" s="40">
        <f t="shared" si="44"/>
        <v>64658.737231200015</v>
      </c>
      <c r="P31" s="40">
        <f t="shared" si="44"/>
        <v>69831.436209696025</v>
      </c>
      <c r="Q31" s="40">
        <f>+P31*(1.03)</f>
        <v>71926.379295986902</v>
      </c>
      <c r="R31" s="40">
        <f t="shared" ref="R31:X31" si="45">+Q31*(1.03)</f>
        <v>74084.170674866516</v>
      </c>
      <c r="S31" s="40">
        <f t="shared" si="45"/>
        <v>76306.695795112508</v>
      </c>
      <c r="T31" s="40">
        <f t="shared" si="45"/>
        <v>78595.896668965885</v>
      </c>
      <c r="U31" s="40">
        <f t="shared" si="45"/>
        <v>80953.773569034864</v>
      </c>
      <c r="V31" s="40">
        <f t="shared" si="45"/>
        <v>83382.386776105908</v>
      </c>
      <c r="W31" s="40">
        <f t="shared" si="45"/>
        <v>85883.858379389087</v>
      </c>
      <c r="X31" s="40">
        <f t="shared" si="45"/>
        <v>88460.374130770768</v>
      </c>
    </row>
    <row r="32" spans="2:24" x14ac:dyDescent="0.3">
      <c r="B32" s="28" t="s">
        <v>106</v>
      </c>
      <c r="C32" s="6" t="s">
        <v>92</v>
      </c>
      <c r="G32" s="40">
        <v>216470</v>
      </c>
      <c r="H32" s="40">
        <v>180437</v>
      </c>
      <c r="I32" s="40">
        <v>205662</v>
      </c>
      <c r="J32" s="40">
        <v>193024</v>
      </c>
      <c r="K32" s="40">
        <v>185210</v>
      </c>
      <c r="L32" s="40">
        <f t="shared" si="41"/>
        <v>194470.5</v>
      </c>
      <c r="M32" s="40">
        <f>+L32*(1.03)</f>
        <v>200304.61499999999</v>
      </c>
      <c r="N32" s="40">
        <f t="shared" ref="N32:P32" si="46">+M32*(1.08)</f>
        <v>216328.98420000001</v>
      </c>
      <c r="O32" s="40">
        <f t="shared" si="46"/>
        <v>233635.30293600002</v>
      </c>
      <c r="P32" s="40">
        <f t="shared" si="46"/>
        <v>252326.12717088003</v>
      </c>
      <c r="Q32" s="40">
        <f>+P32*(1.03)</f>
        <v>259895.91098600643</v>
      </c>
      <c r="R32" s="40">
        <f t="shared" ref="R32:X32" si="47">+Q32*(1.03)</f>
        <v>267692.78831558663</v>
      </c>
      <c r="S32" s="40">
        <f t="shared" si="47"/>
        <v>275723.57196505426</v>
      </c>
      <c r="T32" s="40">
        <f t="shared" si="47"/>
        <v>283995.27912400587</v>
      </c>
      <c r="U32" s="40">
        <f t="shared" si="47"/>
        <v>292515.13749772607</v>
      </c>
      <c r="V32" s="40">
        <f t="shared" si="47"/>
        <v>301290.59162265784</v>
      </c>
      <c r="W32" s="40">
        <f t="shared" si="47"/>
        <v>310329.30937133759</v>
      </c>
      <c r="X32" s="40">
        <f t="shared" si="47"/>
        <v>319639.18865247769</v>
      </c>
    </row>
    <row r="33" spans="2:24" x14ac:dyDescent="0.3">
      <c r="B33" s="28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</row>
    <row r="34" spans="2:24" x14ac:dyDescent="0.3">
      <c r="B34" s="70" t="s">
        <v>107</v>
      </c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</row>
    <row r="35" spans="2:24" x14ac:dyDescent="0.3">
      <c r="B35" s="72" t="s">
        <v>108</v>
      </c>
      <c r="C35" s="35" t="s">
        <v>109</v>
      </c>
      <c r="D35" s="34"/>
      <c r="G35" s="73">
        <f>+G38+G39</f>
        <v>21500</v>
      </c>
      <c r="H35" s="73">
        <f t="shared" ref="H35:X35" si="48">+H38+H39</f>
        <v>19000</v>
      </c>
      <c r="I35" s="73">
        <f t="shared" si="48"/>
        <v>18600</v>
      </c>
      <c r="J35" s="73">
        <f t="shared" si="48"/>
        <v>18400</v>
      </c>
      <c r="K35" s="73">
        <f t="shared" si="48"/>
        <v>21000</v>
      </c>
      <c r="L35" s="73">
        <f t="shared" si="48"/>
        <v>21039.568565655583</v>
      </c>
      <c r="M35" s="73">
        <f t="shared" si="48"/>
        <v>21079.211687091552</v>
      </c>
      <c r="N35" s="73">
        <f t="shared" si="48"/>
        <v>21118.929504787204</v>
      </c>
      <c r="O35" s="73">
        <f t="shared" si="48"/>
        <v>21158.722159486533</v>
      </c>
      <c r="P35" s="73">
        <f t="shared" si="48"/>
        <v>21198.58979219872</v>
      </c>
      <c r="Q35" s="73">
        <f t="shared" si="48"/>
        <v>21238.532544198646</v>
      </c>
      <c r="R35" s="73">
        <f t="shared" si="48"/>
        <v>21278.550557027378</v>
      </c>
      <c r="S35" s="73">
        <f t="shared" si="48"/>
        <v>517358.64397249266</v>
      </c>
      <c r="T35" s="73">
        <f t="shared" si="48"/>
        <v>517398.81293266953</v>
      </c>
      <c r="U35" s="73">
        <f t="shared" si="48"/>
        <v>517439.05757990055</v>
      </c>
      <c r="V35" s="73">
        <f t="shared" si="48"/>
        <v>517479.37805679662</v>
      </c>
      <c r="W35" s="73">
        <f t="shared" si="48"/>
        <v>517519.77450623736</v>
      </c>
      <c r="X35" s="73">
        <f t="shared" si="48"/>
        <v>517560.24707137153</v>
      </c>
    </row>
    <row r="36" spans="2:24" x14ac:dyDescent="0.3">
      <c r="B36" s="32" t="s">
        <v>87</v>
      </c>
      <c r="C36" s="31" t="s">
        <v>12</v>
      </c>
      <c r="D36" s="30"/>
      <c r="E36" s="30"/>
      <c r="F36" s="30"/>
      <c r="G36" s="42">
        <f>+G35/(20300)-1</f>
        <v>5.9113300492610765E-2</v>
      </c>
      <c r="H36" s="82">
        <f>+H35/G35-1</f>
        <v>-0.11627906976744184</v>
      </c>
      <c r="I36" s="82">
        <f t="shared" ref="I36:X36" si="49">+I35/H35-1</f>
        <v>-2.1052631578947323E-2</v>
      </c>
      <c r="J36" s="82">
        <f t="shared" si="49"/>
        <v>-1.0752688172043001E-2</v>
      </c>
      <c r="K36" s="82">
        <f t="shared" si="49"/>
        <v>0.14130434782608692</v>
      </c>
      <c r="L36" s="82">
        <f t="shared" si="49"/>
        <v>1.8842174121707078E-3</v>
      </c>
      <c r="M36" s="82">
        <f t="shared" si="49"/>
        <v>1.8842174121707078E-3</v>
      </c>
      <c r="N36" s="82">
        <f t="shared" si="49"/>
        <v>1.8842174121707078E-3</v>
      </c>
      <c r="O36" s="82">
        <f t="shared" si="49"/>
        <v>1.8842174121709299E-3</v>
      </c>
      <c r="P36" s="82">
        <f t="shared" si="49"/>
        <v>1.8842174121707078E-3</v>
      </c>
      <c r="Q36" s="82">
        <f t="shared" si="49"/>
        <v>1.8842174121707078E-3</v>
      </c>
      <c r="R36" s="82">
        <f t="shared" si="49"/>
        <v>1.8842174121707078E-3</v>
      </c>
      <c r="S36" s="82">
        <f t="shared" si="49"/>
        <v>23.313622423949909</v>
      </c>
      <c r="T36" s="82">
        <f t="shared" si="49"/>
        <v>7.7642387239285071E-5</v>
      </c>
      <c r="U36" s="82">
        <f t="shared" si="49"/>
        <v>7.7782643147061847E-5</v>
      </c>
      <c r="V36" s="82">
        <f t="shared" si="49"/>
        <v>7.7923141489577574E-5</v>
      </c>
      <c r="W36" s="82">
        <f t="shared" si="49"/>
        <v>7.8063882646750571E-5</v>
      </c>
      <c r="X36" s="82">
        <f t="shared" si="49"/>
        <v>7.8204866998055067E-5</v>
      </c>
    </row>
    <row r="37" spans="2:24" x14ac:dyDescent="0.3">
      <c r="B37" s="32"/>
      <c r="C37" s="31"/>
      <c r="G37" s="18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</row>
    <row r="38" spans="2:24" x14ac:dyDescent="0.3">
      <c r="B38" s="28" t="s">
        <v>110</v>
      </c>
      <c r="C38" s="6" t="s">
        <v>109</v>
      </c>
      <c r="G38">
        <v>21500</v>
      </c>
      <c r="H38">
        <v>19000</v>
      </c>
      <c r="I38">
        <v>18600</v>
      </c>
      <c r="J38">
        <v>18400</v>
      </c>
      <c r="K38">
        <v>21000</v>
      </c>
      <c r="L38" s="40">
        <f t="shared" ref="L38:X38" si="50">+K38*(1+L42)</f>
        <v>21039.568565655583</v>
      </c>
      <c r="M38" s="40">
        <f t="shared" si="50"/>
        <v>21079.211687091552</v>
      </c>
      <c r="N38" s="40">
        <f t="shared" si="50"/>
        <v>21118.929504787204</v>
      </c>
      <c r="O38" s="40">
        <f t="shared" si="50"/>
        <v>21158.722159486533</v>
      </c>
      <c r="P38" s="40">
        <f t="shared" si="50"/>
        <v>21198.58979219872</v>
      </c>
      <c r="Q38" s="40">
        <f t="shared" si="50"/>
        <v>21238.532544198646</v>
      </c>
      <c r="R38" s="40">
        <f t="shared" si="50"/>
        <v>21278.550557027378</v>
      </c>
      <c r="S38" s="40">
        <f t="shared" si="50"/>
        <v>21318.643972492682</v>
      </c>
      <c r="T38" s="40">
        <f t="shared" si="50"/>
        <v>21358.81293266952</v>
      </c>
      <c r="U38" s="40">
        <f t="shared" si="50"/>
        <v>21399.057579900553</v>
      </c>
      <c r="V38" s="40">
        <f t="shared" si="50"/>
        <v>21439.378056796646</v>
      </c>
      <c r="W38" s="40">
        <f t="shared" si="50"/>
        <v>21479.774506237372</v>
      </c>
      <c r="X38" s="40">
        <f t="shared" si="50"/>
        <v>21520.247071371527</v>
      </c>
    </row>
    <row r="39" spans="2:24" x14ac:dyDescent="0.3">
      <c r="B39" s="28" t="s">
        <v>111</v>
      </c>
      <c r="C39" s="6" t="s">
        <v>109</v>
      </c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>
        <v>496040</v>
      </c>
      <c r="T39">
        <v>496040</v>
      </c>
      <c r="U39">
        <v>496040</v>
      </c>
      <c r="V39">
        <v>496040</v>
      </c>
      <c r="W39">
        <v>496040</v>
      </c>
      <c r="X39">
        <v>496040</v>
      </c>
    </row>
    <row r="40" spans="2:24" x14ac:dyDescent="0.3">
      <c r="G40" s="18"/>
      <c r="H40" s="18"/>
      <c r="I40" s="18"/>
      <c r="J40" s="18"/>
      <c r="K40" s="18"/>
    </row>
    <row r="41" spans="2:24" x14ac:dyDescent="0.3">
      <c r="B41" s="34" t="s">
        <v>112</v>
      </c>
      <c r="C41" s="35" t="s">
        <v>109</v>
      </c>
      <c r="D41" s="34"/>
      <c r="G41" s="39">
        <f>+SUM(G44:G46)</f>
        <v>13888</v>
      </c>
      <c r="H41" s="39">
        <f>+SUM(H44:H46)</f>
        <v>13691</v>
      </c>
      <c r="I41" s="39">
        <f>+SUM(I44:I46)</f>
        <v>14272</v>
      </c>
      <c r="J41" s="39">
        <f>+SUM(J44:J46)</f>
        <v>10927</v>
      </c>
      <c r="K41" s="39">
        <f>+SUM(K44:K46)</f>
        <v>11999</v>
      </c>
      <c r="L41" s="39">
        <f t="shared" ref="L41:X41" si="51">+SUM(L44:L46)</f>
        <v>12021.608724728636</v>
      </c>
      <c r="M41" s="39">
        <f t="shared" si="51"/>
        <v>12044.260049210074</v>
      </c>
      <c r="N41" s="39">
        <f t="shared" si="51"/>
        <v>12066.954053711506</v>
      </c>
      <c r="O41" s="39">
        <f t="shared" si="51"/>
        <v>12089.690818651376</v>
      </c>
      <c r="P41" s="39">
        <f t="shared" si="51"/>
        <v>12112.470424599638</v>
      </c>
      <c r="Q41" s="39">
        <f t="shared" si="51"/>
        <v>12135.292952278072</v>
      </c>
      <c r="R41" s="39">
        <f t="shared" si="51"/>
        <v>12158.158482560546</v>
      </c>
      <c r="S41" s="39">
        <f t="shared" si="51"/>
        <v>12181.067096473318</v>
      </c>
      <c r="T41" s="39">
        <f t="shared" si="51"/>
        <v>12204.018875195314</v>
      </c>
      <c r="U41" s="39">
        <f t="shared" si="51"/>
        <v>12227.013900058417</v>
      </c>
      <c r="V41" s="39">
        <f t="shared" si="51"/>
        <v>12250.052252547759</v>
      </c>
      <c r="W41" s="39">
        <f t="shared" si="51"/>
        <v>12273.13401430201</v>
      </c>
      <c r="X41" s="39">
        <f t="shared" si="51"/>
        <v>12296.259267113663</v>
      </c>
    </row>
    <row r="42" spans="2:24" s="8" customFormat="1" x14ac:dyDescent="0.3">
      <c r="B42" s="32" t="s">
        <v>87</v>
      </c>
      <c r="C42" s="31" t="s">
        <v>12</v>
      </c>
      <c r="G42" s="33">
        <f>+(G41/12588)-1</f>
        <v>0.10327295837305361</v>
      </c>
      <c r="H42" s="33">
        <f>+(H41/G41)-1</f>
        <v>-1.4184907834101423E-2</v>
      </c>
      <c r="I42" s="33">
        <f t="shared" ref="I42:K42" si="52">+(I41/H41)-1</f>
        <v>4.2436637206924255E-2</v>
      </c>
      <c r="J42" s="33">
        <f t="shared" si="52"/>
        <v>-0.234375</v>
      </c>
      <c r="K42" s="33">
        <f t="shared" si="52"/>
        <v>9.810560995698725E-2</v>
      </c>
      <c r="L42" s="33">
        <f t="shared" ref="L42" si="53">+(L41/K41)-1</f>
        <v>1.8842174121707078E-3</v>
      </c>
      <c r="M42" s="33">
        <f t="shared" ref="M42" si="54">+(M41/L41)-1</f>
        <v>1.8842174121707078E-3</v>
      </c>
      <c r="N42" s="33">
        <f t="shared" ref="N42" si="55">+(N41/M41)-1</f>
        <v>1.8842174121707078E-3</v>
      </c>
      <c r="O42" s="33">
        <f t="shared" ref="O42" si="56">+(O41/N41)-1</f>
        <v>1.8842174121709299E-3</v>
      </c>
      <c r="P42" s="33">
        <f t="shared" ref="P42" si="57">+(P41/O41)-1</f>
        <v>1.8842174121707078E-3</v>
      </c>
      <c r="Q42" s="33">
        <f t="shared" ref="Q42" si="58">+(Q41/P41)-1</f>
        <v>1.8842174121707078E-3</v>
      </c>
      <c r="R42" s="33">
        <f t="shared" ref="R42" si="59">+(R41/Q41)-1</f>
        <v>1.8842174121707078E-3</v>
      </c>
      <c r="S42" s="33">
        <f t="shared" ref="S42" si="60">+(S41/R41)-1</f>
        <v>1.8842174121707078E-3</v>
      </c>
      <c r="T42" s="33">
        <f t="shared" ref="T42" si="61">+(T41/S41)-1</f>
        <v>1.8842174121707078E-3</v>
      </c>
      <c r="U42" s="33">
        <f t="shared" ref="U42" si="62">+(U41/T41)-1</f>
        <v>1.8842174121707078E-3</v>
      </c>
      <c r="V42" s="33">
        <f t="shared" ref="V42" si="63">+(V41/U41)-1</f>
        <v>1.8842174121707078E-3</v>
      </c>
      <c r="W42" s="33">
        <f t="shared" ref="W42" si="64">+(W41/V41)-1</f>
        <v>1.8842174121707078E-3</v>
      </c>
      <c r="X42" s="33">
        <f t="shared" ref="X42" si="65">+(X41/W41)-1</f>
        <v>1.8842174121707078E-3</v>
      </c>
    </row>
    <row r="43" spans="2:24" s="8" customFormat="1" x14ac:dyDescent="0.3">
      <c r="C43" s="29"/>
    </row>
    <row r="44" spans="2:24" x14ac:dyDescent="0.3">
      <c r="B44" s="28" t="s">
        <v>113</v>
      </c>
      <c r="C44" s="6" t="s">
        <v>109</v>
      </c>
      <c r="G44" s="60">
        <v>3967</v>
      </c>
      <c r="H44" s="61">
        <v>3985</v>
      </c>
      <c r="I44" s="60">
        <v>3741</v>
      </c>
      <c r="J44" s="60">
        <v>3526</v>
      </c>
      <c r="K44" s="60">
        <v>4070</v>
      </c>
      <c r="L44" s="60">
        <f>+K44*(1+AVERAGE($G$47:$K$47)/5)</f>
        <v>4077.6687648675347</v>
      </c>
      <c r="M44" s="60">
        <f t="shared" ref="M44:X44" si="66">+L44*(1+AVERAGE($G$47:$K$47)/5)</f>
        <v>4085.3519793553628</v>
      </c>
      <c r="N44" s="60">
        <f t="shared" si="66"/>
        <v>4093.0496706897102</v>
      </c>
      <c r="O44" s="60">
        <f t="shared" si="66"/>
        <v>4100.7618661481038</v>
      </c>
      <c r="P44" s="60">
        <f t="shared" si="66"/>
        <v>4108.4885930594655</v>
      </c>
      <c r="Q44" s="60">
        <f t="shared" si="66"/>
        <v>4116.2298788042126</v>
      </c>
      <c r="R44" s="60">
        <f t="shared" si="66"/>
        <v>4123.9857508143532</v>
      </c>
      <c r="S44" s="60">
        <f t="shared" si="66"/>
        <v>4131.7562365735812</v>
      </c>
      <c r="T44" s="60">
        <f t="shared" si="66"/>
        <v>4139.541363617378</v>
      </c>
      <c r="U44" s="60">
        <f t="shared" si="66"/>
        <v>4147.3411595331072</v>
      </c>
      <c r="V44" s="60">
        <f t="shared" si="66"/>
        <v>4155.1556519601118</v>
      </c>
      <c r="W44" s="60">
        <f t="shared" si="66"/>
        <v>4162.9848685898141</v>
      </c>
      <c r="X44" s="60">
        <f t="shared" si="66"/>
        <v>4170.8288371658145</v>
      </c>
    </row>
    <row r="45" spans="2:24" x14ac:dyDescent="0.3">
      <c r="B45" s="28" t="s">
        <v>114</v>
      </c>
      <c r="C45" s="6" t="s">
        <v>109</v>
      </c>
      <c r="G45" s="60">
        <v>8128</v>
      </c>
      <c r="H45" s="60">
        <v>7612</v>
      </c>
      <c r="I45" s="60">
        <v>8569</v>
      </c>
      <c r="J45" s="60">
        <v>7398</v>
      </c>
      <c r="K45" s="60">
        <v>7929</v>
      </c>
      <c r="L45" s="60">
        <f>+K45*(1+AVERAGE($G$47:$K$47)/5)</f>
        <v>7943.9399598611017</v>
      </c>
      <c r="M45" s="60">
        <f t="shared" ref="M45:X45" si="67">+L45*(1+AVERAGE($G$47:$K$47)/5)</f>
        <v>7958.9080698547104</v>
      </c>
      <c r="N45" s="60">
        <f t="shared" si="67"/>
        <v>7973.904383021797</v>
      </c>
      <c r="O45" s="60">
        <f t="shared" si="67"/>
        <v>7988.9289525032709</v>
      </c>
      <c r="P45" s="60">
        <f t="shared" si="67"/>
        <v>8003.9818315401726</v>
      </c>
      <c r="Q45" s="60">
        <f t="shared" si="67"/>
        <v>8019.0630734738588</v>
      </c>
      <c r="R45" s="60">
        <f t="shared" si="67"/>
        <v>8034.1727317461937</v>
      </c>
      <c r="S45" s="60">
        <f t="shared" si="67"/>
        <v>8049.3108598997369</v>
      </c>
      <c r="T45" s="60">
        <f t="shared" si="67"/>
        <v>8064.4775115779348</v>
      </c>
      <c r="U45" s="60">
        <f t="shared" si="67"/>
        <v>8079.6727405253087</v>
      </c>
      <c r="V45" s="60">
        <f t="shared" si="67"/>
        <v>8094.8966005876473</v>
      </c>
      <c r="W45" s="60">
        <f t="shared" si="67"/>
        <v>8110.1491457121956</v>
      </c>
      <c r="X45" s="60">
        <f t="shared" si="67"/>
        <v>8125.4304299478481</v>
      </c>
    </row>
    <row r="46" spans="2:24" x14ac:dyDescent="0.3">
      <c r="B46" s="28" t="s">
        <v>96</v>
      </c>
      <c r="C46" s="6" t="s">
        <v>109</v>
      </c>
      <c r="G46" s="60">
        <v>1793</v>
      </c>
      <c r="H46" s="60">
        <v>2094</v>
      </c>
      <c r="I46" s="60">
        <v>1962</v>
      </c>
      <c r="J46" s="60">
        <v>3</v>
      </c>
      <c r="K46" s="60">
        <v>0</v>
      </c>
      <c r="L46" s="60">
        <f>+K46*(1+AVERAGE($G$47:$K$47)/5)</f>
        <v>0</v>
      </c>
      <c r="M46" s="60">
        <f t="shared" ref="M46:X46" si="68">+L46*(1+AVERAGE($G$47:$K$47)/5)</f>
        <v>0</v>
      </c>
      <c r="N46" s="60">
        <f t="shared" si="68"/>
        <v>0</v>
      </c>
      <c r="O46" s="60">
        <f t="shared" si="68"/>
        <v>0</v>
      </c>
      <c r="P46" s="60">
        <f t="shared" si="68"/>
        <v>0</v>
      </c>
      <c r="Q46" s="60">
        <f t="shared" si="68"/>
        <v>0</v>
      </c>
      <c r="R46" s="60">
        <f t="shared" si="68"/>
        <v>0</v>
      </c>
      <c r="S46" s="60">
        <f t="shared" si="68"/>
        <v>0</v>
      </c>
      <c r="T46" s="60">
        <f t="shared" si="68"/>
        <v>0</v>
      </c>
      <c r="U46" s="60">
        <f t="shared" si="68"/>
        <v>0</v>
      </c>
      <c r="V46" s="60">
        <f t="shared" si="68"/>
        <v>0</v>
      </c>
      <c r="W46" s="60">
        <f t="shared" si="68"/>
        <v>0</v>
      </c>
      <c r="X46" s="60">
        <f t="shared" si="68"/>
        <v>0</v>
      </c>
    </row>
    <row r="47" spans="2:24" ht="28.8" x14ac:dyDescent="0.3">
      <c r="B47" s="36" t="s">
        <v>115</v>
      </c>
      <c r="G47" s="41">
        <f>+G38/G12</f>
        <v>9.7390831672404428E-3</v>
      </c>
      <c r="H47" s="41">
        <f t="shared" ref="H47:K47" si="69">+H38/H12</f>
        <v>8.9940828402366862E-3</v>
      </c>
      <c r="I47" s="41">
        <f t="shared" si="69"/>
        <v>9.4296577946768063E-3</v>
      </c>
      <c r="J47" s="41">
        <f t="shared" si="69"/>
        <v>9.1615216092411876E-3</v>
      </c>
      <c r="K47" s="41">
        <f t="shared" si="69"/>
        <v>9.7810898928737781E-3</v>
      </c>
      <c r="S47" s="60"/>
    </row>
    <row r="49" spans="2:24" x14ac:dyDescent="0.3">
      <c r="B49" s="70" t="s">
        <v>116</v>
      </c>
    </row>
    <row r="50" spans="2:24" x14ac:dyDescent="0.3">
      <c r="B50" s="76" t="s">
        <v>117</v>
      </c>
      <c r="C50" s="79" t="s">
        <v>92</v>
      </c>
      <c r="D50" s="76"/>
      <c r="E50" s="75"/>
      <c r="F50" s="75"/>
      <c r="G50" s="80">
        <f>+SUM(G53:G57)</f>
        <v>66687</v>
      </c>
      <c r="H50" s="80">
        <f t="shared" ref="H50:X50" si="70">+SUM(H53:H57)</f>
        <v>66716</v>
      </c>
      <c r="I50" s="80">
        <f t="shared" si="70"/>
        <v>57849</v>
      </c>
      <c r="J50" s="80">
        <f t="shared" si="70"/>
        <v>59164</v>
      </c>
      <c r="K50" s="80">
        <f t="shared" si="70"/>
        <v>63929</v>
      </c>
      <c r="L50" s="80">
        <f t="shared" si="70"/>
        <v>65155.156711685529</v>
      </c>
      <c r="M50" s="80">
        <f t="shared" si="70"/>
        <v>66404.831080171745</v>
      </c>
      <c r="N50" s="80">
        <f t="shared" si="70"/>
        <v>67678.474173561233</v>
      </c>
      <c r="O50" s="80">
        <f t="shared" si="70"/>
        <v>68976.545711432118</v>
      </c>
      <c r="P50" s="80">
        <f t="shared" si="70"/>
        <v>70299.514230773202</v>
      </c>
      <c r="Q50" s="80">
        <f t="shared" si="70"/>
        <v>88147.857255101655</v>
      </c>
      <c r="R50" s="80">
        <f t="shared" si="70"/>
        <v>89522.061466824496</v>
      </c>
      <c r="S50" s="80">
        <f t="shared" si="70"/>
        <v>90922.62288290578</v>
      </c>
      <c r="T50" s="80">
        <f t="shared" si="70"/>
        <v>92350.047033903233</v>
      </c>
      <c r="U50" s="80">
        <f t="shared" si="70"/>
        <v>93804.849146438763</v>
      </c>
      <c r="V50" s="80">
        <f t="shared" si="70"/>
        <v>95287.554329168706</v>
      </c>
      <c r="W50" s="80">
        <f t="shared" si="70"/>
        <v>96798.697762321084</v>
      </c>
      <c r="X50" s="80">
        <f t="shared" si="70"/>
        <v>98338.82489086804</v>
      </c>
    </row>
    <row r="51" spans="2:24" s="8" customFormat="1" x14ac:dyDescent="0.3">
      <c r="B51" s="32" t="s">
        <v>87</v>
      </c>
      <c r="C51" s="31" t="s">
        <v>12</v>
      </c>
      <c r="D51" s="81"/>
      <c r="E51" s="81"/>
      <c r="F51" s="81"/>
      <c r="G51" s="33">
        <f>+(G50/59272)-1</f>
        <v>0.12510122823592917</v>
      </c>
      <c r="H51" s="33">
        <f>+(H50/G50)-1</f>
        <v>4.3486736545350624E-4</v>
      </c>
      <c r="I51" s="33">
        <f t="shared" ref="I51:K51" si="71">+(I50/H50)-1</f>
        <v>-0.13290664907968108</v>
      </c>
      <c r="J51" s="33">
        <f t="shared" si="71"/>
        <v>2.2731594323151638E-2</v>
      </c>
      <c r="K51" s="33">
        <f t="shared" si="71"/>
        <v>8.0538841187208332E-2</v>
      </c>
      <c r="L51" s="33">
        <f t="shared" ref="L51" si="72">+(L50/K50)-1</f>
        <v>1.9179976406412225E-2</v>
      </c>
      <c r="M51" s="33">
        <f t="shared" ref="M51" si="73">+(M50/L50)-1</f>
        <v>1.9179976406412225E-2</v>
      </c>
      <c r="N51" s="33">
        <f t="shared" ref="N51" si="74">+(N50/M50)-1</f>
        <v>1.9179976406412225E-2</v>
      </c>
      <c r="O51" s="33">
        <f t="shared" ref="O51" si="75">+(O50/N50)-1</f>
        <v>1.9179976406412225E-2</v>
      </c>
      <c r="P51" s="33">
        <f t="shared" ref="P51" si="76">+(P50/O50)-1</f>
        <v>1.9179976406412225E-2</v>
      </c>
      <c r="Q51" s="33">
        <f t="shared" ref="Q51" si="77">+(Q50/P50)-1</f>
        <v>0.25388999084314356</v>
      </c>
      <c r="R51" s="33">
        <f t="shared" ref="R51" si="78">+(R50/Q50)-1</f>
        <v>1.5589763092548781E-2</v>
      </c>
      <c r="S51" s="33">
        <f t="shared" ref="S51" si="79">+(S50/R50)-1</f>
        <v>1.5644874493873306E-2</v>
      </c>
      <c r="T51" s="33">
        <f t="shared" ref="T51" si="80">+(T50/S50)-1</f>
        <v>1.569932878900504E-2</v>
      </c>
      <c r="U51" s="33">
        <f t="shared" ref="U51" si="81">+(U50/T50)-1</f>
        <v>1.5753128008710648E-2</v>
      </c>
      <c r="V51" s="33">
        <f t="shared" ref="V51" si="82">+(V50/U50)-1</f>
        <v>1.5806274368772799E-2</v>
      </c>
      <c r="W51" s="33">
        <f t="shared" ref="W51" si="83">+(W50/V50)-1</f>
        <v>1.58587702642905E-2</v>
      </c>
      <c r="X51" s="33">
        <f t="shared" ref="X51" si="84">+(X50/W50)-1</f>
        <v>1.591061826398299E-2</v>
      </c>
    </row>
    <row r="52" spans="2:24" s="8" customFormat="1" x14ac:dyDescent="0.3">
      <c r="C52" s="29"/>
    </row>
    <row r="53" spans="2:24" x14ac:dyDescent="0.3">
      <c r="B53" s="28" t="s">
        <v>91</v>
      </c>
      <c r="C53" s="6" t="s">
        <v>92</v>
      </c>
      <c r="G53" s="62">
        <v>22088</v>
      </c>
      <c r="H53" s="62">
        <v>23462</v>
      </c>
      <c r="I53" s="62">
        <v>16934</v>
      </c>
      <c r="J53" s="62">
        <v>13916</v>
      </c>
      <c r="K53" s="62">
        <v>19771</v>
      </c>
      <c r="L53" s="62">
        <f>+K53*(1+AVERAGE($G$51:$K$51))</f>
        <v>20150.207313531177</v>
      </c>
      <c r="M53" s="62">
        <f t="shared" ref="M53:X53" si="85">+L53*(1+AVERAGE($G$51:$K$51))</f>
        <v>20536.687814389021</v>
      </c>
      <c r="N53" s="62">
        <f t="shared" si="85"/>
        <v>20930.581002134855</v>
      </c>
      <c r="O53" s="62">
        <f t="shared" si="85"/>
        <v>21332.029051928301</v>
      </c>
      <c r="P53" s="62">
        <f t="shared" si="85"/>
        <v>21741.176865845187</v>
      </c>
      <c r="Q53" s="62">
        <f t="shared" si="85"/>
        <v>22158.172125179732</v>
      </c>
      <c r="R53" s="62">
        <f t="shared" si="85"/>
        <v>22583.165343749901</v>
      </c>
      <c r="S53" s="62">
        <f t="shared" si="85"/>
        <v>23016.309922225129</v>
      </c>
      <c r="T53" s="62">
        <f t="shared" si="85"/>
        <v>23457.76220349608</v>
      </c>
      <c r="U53" s="62">
        <f t="shared" si="85"/>
        <v>23907.681529106365</v>
      </c>
      <c r="V53" s="62">
        <f t="shared" si="85"/>
        <v>24366.230296766644</v>
      </c>
      <c r="W53" s="62">
        <f t="shared" si="85"/>
        <v>24833.574018971834</v>
      </c>
      <c r="X53" s="62">
        <f t="shared" si="85"/>
        <v>25309.881382742606</v>
      </c>
    </row>
    <row r="54" spans="2:24" x14ac:dyDescent="0.3">
      <c r="B54" s="28" t="s">
        <v>93</v>
      </c>
      <c r="C54" s="6" t="s">
        <v>92</v>
      </c>
      <c r="G54" s="62">
        <v>9315</v>
      </c>
      <c r="H54" s="62">
        <v>9237</v>
      </c>
      <c r="I54" s="62">
        <v>7992</v>
      </c>
      <c r="J54" s="62">
        <v>8252</v>
      </c>
      <c r="K54" s="62">
        <v>9740</v>
      </c>
      <c r="L54" s="62">
        <f t="shared" ref="L54:X56" si="86">+K54*(1+AVERAGE($G$51:$K$51))</f>
        <v>9926.8129701984544</v>
      </c>
      <c r="M54" s="62">
        <f t="shared" si="86"/>
        <v>10117.209008757727</v>
      </c>
      <c r="N54" s="62">
        <f t="shared" si="86"/>
        <v>10311.256838844442</v>
      </c>
      <c r="O54" s="62">
        <f t="shared" si="86"/>
        <v>10509.026501733935</v>
      </c>
      <c r="P54" s="62">
        <f t="shared" si="86"/>
        <v>10710.589382091553</v>
      </c>
      <c r="Q54" s="62">
        <f t="shared" si="86"/>
        <v>10916.01823373884</v>
      </c>
      <c r="R54" s="62">
        <f t="shared" si="86"/>
        <v>11125.387205913916</v>
      </c>
      <c r="S54" s="62">
        <f t="shared" si="86"/>
        <v>11338.771870035545</v>
      </c>
      <c r="T54" s="62">
        <f t="shared" si="86"/>
        <v>11556.249246980518</v>
      </c>
      <c r="U54" s="62">
        <f t="shared" si="86"/>
        <v>11777.897834884223</v>
      </c>
      <c r="V54" s="62">
        <f t="shared" si="86"/>
        <v>12003.797637474436</v>
      </c>
      <c r="W54" s="62">
        <f t="shared" si="86"/>
        <v>12234.030192948543</v>
      </c>
      <c r="X54" s="62">
        <f t="shared" si="86"/>
        <v>12468.678603404631</v>
      </c>
    </row>
    <row r="55" spans="2:24" x14ac:dyDescent="0.3">
      <c r="B55" s="28" t="s">
        <v>95</v>
      </c>
      <c r="C55" s="6" t="s">
        <v>92</v>
      </c>
      <c r="G55" s="62">
        <v>12058</v>
      </c>
      <c r="H55" s="62">
        <v>11524</v>
      </c>
      <c r="I55" s="62">
        <v>11848</v>
      </c>
      <c r="J55" s="62">
        <v>11937</v>
      </c>
      <c r="K55" s="62">
        <v>12991</v>
      </c>
      <c r="L55" s="62">
        <f t="shared" si="86"/>
        <v>13240.167073495701</v>
      </c>
      <c r="M55" s="62">
        <f t="shared" si="86"/>
        <v>13494.113165582305</v>
      </c>
      <c r="N55" s="62">
        <f t="shared" si="86"/>
        <v>13752.929937723629</v>
      </c>
      <c r="O55" s="62">
        <f t="shared" si="86"/>
        <v>14016.710809448208</v>
      </c>
      <c r="P55" s="62">
        <f t="shared" si="86"/>
        <v>14285.550992068927</v>
      </c>
      <c r="Q55" s="62">
        <f t="shared" si="86"/>
        <v>14559.547523049408</v>
      </c>
      <c r="R55" s="62">
        <f t="shared" si="86"/>
        <v>14838.799301029534</v>
      </c>
      <c r="S55" s="62">
        <f t="shared" si="86"/>
        <v>15123.407121522767</v>
      </c>
      <c r="T55" s="62">
        <f t="shared" si="86"/>
        <v>15413.473713298141</v>
      </c>
      <c r="U55" s="62">
        <f t="shared" si="86"/>
        <v>15709.103775460055</v>
      </c>
      <c r="V55" s="62">
        <f t="shared" si="86"/>
        <v>16010.404015239259</v>
      </c>
      <c r="W55" s="62">
        <f t="shared" si="86"/>
        <v>16317.483186508676</v>
      </c>
      <c r="X55" s="62">
        <f t="shared" si="86"/>
        <v>16630.452129037942</v>
      </c>
    </row>
    <row r="56" spans="2:24" x14ac:dyDescent="0.3">
      <c r="B56" s="28" t="s">
        <v>94</v>
      </c>
      <c r="C56" s="6" t="s">
        <v>92</v>
      </c>
      <c r="G56" s="62">
        <v>23226</v>
      </c>
      <c r="H56" s="62">
        <v>22493</v>
      </c>
      <c r="I56" s="62">
        <v>21075</v>
      </c>
      <c r="J56" s="62">
        <v>25059</v>
      </c>
      <c r="K56" s="62">
        <v>21427</v>
      </c>
      <c r="L56" s="62">
        <f t="shared" si="86"/>
        <v>21837.969354460194</v>
      </c>
      <c r="M56" s="62">
        <f t="shared" si="86"/>
        <v>22256.821091442693</v>
      </c>
      <c r="N56" s="62">
        <f t="shared" si="86"/>
        <v>22683.706394858302</v>
      </c>
      <c r="O56" s="62">
        <f t="shared" si="86"/>
        <v>23118.779348321666</v>
      </c>
      <c r="P56" s="62">
        <f t="shared" si="86"/>
        <v>23562.196990767527</v>
      </c>
      <c r="Q56" s="62">
        <f t="shared" si="86"/>
        <v>24014.119373133686</v>
      </c>
      <c r="R56" s="62">
        <f t="shared" si="86"/>
        <v>24474.709616131157</v>
      </c>
      <c r="S56" s="62">
        <f t="shared" si="86"/>
        <v>24944.133969122344</v>
      </c>
      <c r="T56" s="62">
        <f t="shared" si="86"/>
        <v>25422.561870128495</v>
      </c>
      <c r="U56" s="62">
        <f t="shared" si="86"/>
        <v>25910.166006988115</v>
      </c>
      <c r="V56" s="62">
        <f t="shared" si="86"/>
        <v>26407.122379688371</v>
      </c>
      <c r="W56" s="62">
        <f t="shared" si="86"/>
        <v>26913.610363892036</v>
      </c>
      <c r="X56" s="62">
        <f t="shared" si="86"/>
        <v>27429.812775682858</v>
      </c>
    </row>
    <row r="57" spans="2:24" x14ac:dyDescent="0.3">
      <c r="B57" s="28" t="s">
        <v>111</v>
      </c>
      <c r="C57" s="6" t="s">
        <v>92</v>
      </c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>
        <v>16500</v>
      </c>
      <c r="R57" s="62">
        <v>16500</v>
      </c>
      <c r="S57" s="62">
        <v>16500</v>
      </c>
      <c r="T57" s="62">
        <v>16500</v>
      </c>
      <c r="U57" s="62">
        <v>16500</v>
      </c>
      <c r="V57" s="62">
        <v>16500</v>
      </c>
      <c r="W57" s="62">
        <v>16500</v>
      </c>
      <c r="X57" s="62">
        <v>16500</v>
      </c>
    </row>
    <row r="59" spans="2:24" x14ac:dyDescent="0.3">
      <c r="B59" s="70" t="s">
        <v>118</v>
      </c>
    </row>
    <row r="60" spans="2:24" x14ac:dyDescent="0.3">
      <c r="B60" s="76" t="s">
        <v>119</v>
      </c>
      <c r="C60" s="79" t="s">
        <v>92</v>
      </c>
      <c r="D60" s="76"/>
      <c r="E60" s="75"/>
      <c r="F60" s="75"/>
      <c r="G60" s="76">
        <v>152000</v>
      </c>
      <c r="H60" s="76">
        <v>147600</v>
      </c>
      <c r="I60" s="76">
        <v>132300</v>
      </c>
      <c r="J60" s="76">
        <v>144400</v>
      </c>
      <c r="K60" s="76">
        <v>286000</v>
      </c>
      <c r="L60" s="78">
        <f>+K60*(1+L61)</f>
        <v>377520</v>
      </c>
      <c r="M60" s="78">
        <f t="shared" ref="M60:X60" si="87">+L60*(1+M61)</f>
        <v>386014.2</v>
      </c>
      <c r="N60" s="78">
        <f t="shared" si="87"/>
        <v>395008.33086000005</v>
      </c>
      <c r="O60" s="78">
        <f t="shared" si="87"/>
        <v>404212.02496903809</v>
      </c>
      <c r="P60" s="78">
        <f t="shared" si="87"/>
        <v>413630.16515081673</v>
      </c>
      <c r="Q60" s="78">
        <f t="shared" si="87"/>
        <v>423267.7479988308</v>
      </c>
      <c r="R60" s="78">
        <f t="shared" si="87"/>
        <v>433129.88652720361</v>
      </c>
      <c r="S60" s="78">
        <f t="shared" si="87"/>
        <v>443221.81288328749</v>
      </c>
      <c r="T60" s="78">
        <f t="shared" si="87"/>
        <v>453548.88112346816</v>
      </c>
      <c r="U60" s="78">
        <f t="shared" si="87"/>
        <v>464116.570053645</v>
      </c>
      <c r="V60" s="78">
        <f t="shared" si="87"/>
        <v>474930.48613589496</v>
      </c>
      <c r="W60" s="78">
        <f t="shared" si="87"/>
        <v>485996.36646286136</v>
      </c>
      <c r="X60" s="78">
        <f t="shared" si="87"/>
        <v>497320.0818014461</v>
      </c>
    </row>
    <row r="61" spans="2:24" x14ac:dyDescent="0.3">
      <c r="B61" s="32" t="s">
        <v>87</v>
      </c>
      <c r="C61" s="31" t="s">
        <v>12</v>
      </c>
      <c r="D61" s="30"/>
      <c r="E61" s="30"/>
      <c r="F61" s="30"/>
      <c r="G61" s="42">
        <f>+G60/163000-1</f>
        <v>-6.7484662576687171E-2</v>
      </c>
      <c r="H61" s="42">
        <f>+H60/G60-1</f>
        <v>-2.8947368421052611E-2</v>
      </c>
      <c r="I61" s="42">
        <f>+I60/H60-1</f>
        <v>-0.10365853658536583</v>
      </c>
      <c r="J61" s="42">
        <f t="shared" ref="J61:K61" si="88">+J60/I60-1</f>
        <v>9.1458805744520033E-2</v>
      </c>
      <c r="K61" s="42">
        <f t="shared" si="88"/>
        <v>0.98060941828254844</v>
      </c>
      <c r="L61" s="42">
        <v>0.32000000000000006</v>
      </c>
      <c r="M61" s="42">
        <v>2.2499999999999964E-2</v>
      </c>
      <c r="N61" s="42">
        <v>2.3300000000000098E-2</v>
      </c>
      <c r="O61" s="42">
        <v>2.3300000000000098E-2</v>
      </c>
      <c r="P61" s="42">
        <v>2.3300000000000098E-2</v>
      </c>
      <c r="Q61" s="42">
        <v>2.3300000000000098E-2</v>
      </c>
      <c r="R61" s="42">
        <v>2.3300000000000098E-2</v>
      </c>
      <c r="S61" s="42">
        <v>2.3300000000000098E-2</v>
      </c>
      <c r="T61" s="42">
        <v>2.3300000000000098E-2</v>
      </c>
      <c r="U61" s="42">
        <v>2.3300000000000098E-2</v>
      </c>
      <c r="V61" s="42">
        <v>2.3300000000000098E-2</v>
      </c>
      <c r="W61" s="42">
        <v>2.3300000000000098E-2</v>
      </c>
      <c r="X61" s="42">
        <v>2.3300000000000098E-2</v>
      </c>
    </row>
    <row r="63" spans="2:24" x14ac:dyDescent="0.3">
      <c r="B63" s="34" t="s">
        <v>120</v>
      </c>
      <c r="C63" s="35" t="s">
        <v>92</v>
      </c>
      <c r="D63" s="34"/>
      <c r="G63" s="39">
        <f>+SUM(G66:G67)</f>
        <v>225842</v>
      </c>
      <c r="H63" s="39">
        <f t="shared" ref="H63:X63" si="89">+SUM(H66:H67)</f>
        <v>204306</v>
      </c>
      <c r="I63" s="39">
        <f t="shared" si="89"/>
        <v>220225</v>
      </c>
      <c r="J63" s="39">
        <f t="shared" si="89"/>
        <v>222695</v>
      </c>
      <c r="K63" s="39">
        <f t="shared" si="89"/>
        <v>217734</v>
      </c>
      <c r="L63" s="39">
        <f t="shared" si="89"/>
        <v>287408.88</v>
      </c>
      <c r="M63" s="39">
        <f t="shared" si="89"/>
        <v>293875.57980000001</v>
      </c>
      <c r="N63" s="39">
        <f t="shared" si="89"/>
        <v>300722.88080934004</v>
      </c>
      <c r="O63" s="39">
        <f t="shared" si="89"/>
        <v>307729.72393219772</v>
      </c>
      <c r="P63" s="39">
        <f t="shared" si="89"/>
        <v>314899.82649981795</v>
      </c>
      <c r="Q63" s="39">
        <f t="shared" si="89"/>
        <v>322236.99245726375</v>
      </c>
      <c r="R63" s="39">
        <f t="shared" si="89"/>
        <v>329745.11438151804</v>
      </c>
      <c r="S63" s="39">
        <f t="shared" si="89"/>
        <v>337428.17554660747</v>
      </c>
      <c r="T63" s="39">
        <f t="shared" si="89"/>
        <v>345290.25203684345</v>
      </c>
      <c r="U63" s="39">
        <f t="shared" si="89"/>
        <v>353335.51490930194</v>
      </c>
      <c r="V63" s="39">
        <f t="shared" si="89"/>
        <v>361568.23240668874</v>
      </c>
      <c r="W63" s="39">
        <f t="shared" si="89"/>
        <v>369992.77222176461</v>
      </c>
      <c r="X63" s="39">
        <f t="shared" si="89"/>
        <v>378613.60381453176</v>
      </c>
    </row>
    <row r="64" spans="2:24" s="8" customFormat="1" x14ac:dyDescent="0.3">
      <c r="B64" s="32" t="s">
        <v>87</v>
      </c>
      <c r="C64" s="31" t="s">
        <v>12</v>
      </c>
      <c r="G64" s="33">
        <f>+(G63/231435)-1</f>
        <v>-2.4166612655821318E-2</v>
      </c>
      <c r="H64" s="33">
        <f t="shared" ref="H64:X64" si="90">+(H63/G63)-1</f>
        <v>-9.5358702101469128E-2</v>
      </c>
      <c r="I64" s="33">
        <f t="shared" si="90"/>
        <v>7.7917437569136494E-2</v>
      </c>
      <c r="J64" s="33">
        <f t="shared" si="90"/>
        <v>1.1215802020660748E-2</v>
      </c>
      <c r="K64" s="33">
        <f t="shared" si="90"/>
        <v>-2.2277105458137769E-2</v>
      </c>
      <c r="L64" s="33">
        <f t="shared" si="90"/>
        <v>0.32000000000000006</v>
      </c>
      <c r="M64" s="33">
        <f t="shared" si="90"/>
        <v>2.2499999999999964E-2</v>
      </c>
      <c r="N64" s="33">
        <f t="shared" si="90"/>
        <v>2.3300000000000098E-2</v>
      </c>
      <c r="O64" s="33">
        <f t="shared" si="90"/>
        <v>2.3300000000000098E-2</v>
      </c>
      <c r="P64" s="33">
        <f t="shared" si="90"/>
        <v>2.3300000000000098E-2</v>
      </c>
      <c r="Q64" s="33">
        <f t="shared" si="90"/>
        <v>2.3300000000000098E-2</v>
      </c>
      <c r="R64" s="33">
        <f t="shared" si="90"/>
        <v>2.3300000000000098E-2</v>
      </c>
      <c r="S64" s="33">
        <f t="shared" si="90"/>
        <v>2.3300000000000098E-2</v>
      </c>
      <c r="T64" s="33">
        <f t="shared" si="90"/>
        <v>2.3300000000000098E-2</v>
      </c>
      <c r="U64" s="33">
        <f t="shared" si="90"/>
        <v>2.3300000000000098E-2</v>
      </c>
      <c r="V64" s="33">
        <f t="shared" si="90"/>
        <v>2.3300000000000098E-2</v>
      </c>
      <c r="W64" s="33">
        <f t="shared" si="90"/>
        <v>2.3300000000000098E-2</v>
      </c>
      <c r="X64" s="33">
        <f t="shared" si="90"/>
        <v>2.3300000000000098E-2</v>
      </c>
    </row>
    <row r="65" spans="2:24" s="8" customFormat="1" x14ac:dyDescent="0.3">
      <c r="C65" s="29"/>
    </row>
    <row r="66" spans="2:24" x14ac:dyDescent="0.3">
      <c r="B66" s="28" t="s">
        <v>121</v>
      </c>
      <c r="C66" s="6" t="s">
        <v>92</v>
      </c>
      <c r="G66" s="62">
        <v>225842</v>
      </c>
      <c r="H66" s="62">
        <v>204306</v>
      </c>
      <c r="I66" s="62">
        <v>220225</v>
      </c>
      <c r="J66" s="62">
        <v>222695</v>
      </c>
      <c r="K66" s="62">
        <v>217734</v>
      </c>
      <c r="L66" s="62">
        <f>+K66*1.32</f>
        <v>287408.88</v>
      </c>
      <c r="M66" s="62">
        <f>+L66*(1.0225)</f>
        <v>293875.57980000001</v>
      </c>
      <c r="N66" s="62">
        <f t="shared" ref="N66:X66" si="91">+M66*(1.0233)</f>
        <v>300722.88080934004</v>
      </c>
      <c r="O66" s="62">
        <f t="shared" si="91"/>
        <v>307729.72393219772</v>
      </c>
      <c r="P66" s="62">
        <f t="shared" si="91"/>
        <v>314899.82649981795</v>
      </c>
      <c r="Q66" s="62">
        <f t="shared" si="91"/>
        <v>322236.99245726375</v>
      </c>
      <c r="R66" s="62">
        <f t="shared" si="91"/>
        <v>329745.11438151804</v>
      </c>
      <c r="S66" s="62">
        <f t="shared" si="91"/>
        <v>337428.17554660747</v>
      </c>
      <c r="T66" s="62">
        <f t="shared" si="91"/>
        <v>345290.25203684345</v>
      </c>
      <c r="U66" s="62">
        <f t="shared" si="91"/>
        <v>353335.51490930194</v>
      </c>
      <c r="V66" s="62">
        <f t="shared" si="91"/>
        <v>361568.23240668874</v>
      </c>
      <c r="W66" s="62">
        <f t="shared" si="91"/>
        <v>369992.77222176461</v>
      </c>
      <c r="X66" s="62">
        <f t="shared" si="91"/>
        <v>378613.60381453176</v>
      </c>
    </row>
    <row r="67" spans="2:24" x14ac:dyDescent="0.3">
      <c r="B67" s="28" t="s">
        <v>111</v>
      </c>
      <c r="C67" s="6" t="s">
        <v>92</v>
      </c>
    </row>
    <row r="71" spans="2:24" x14ac:dyDescent="0.3">
      <c r="B71" s="3" t="s">
        <v>122</v>
      </c>
      <c r="C71" s="7" t="s">
        <v>9</v>
      </c>
      <c r="D71" s="7" t="s">
        <v>10</v>
      </c>
      <c r="E71" s="142"/>
      <c r="F71" s="13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2:24" x14ac:dyDescent="0.3">
      <c r="D72" s="6"/>
    </row>
    <row r="73" spans="2:24" x14ac:dyDescent="0.3">
      <c r="B73" t="s">
        <v>123</v>
      </c>
      <c r="C73" s="6" t="s">
        <v>124</v>
      </c>
      <c r="D73" s="174" t="s">
        <v>32</v>
      </c>
      <c r="E73" s="174"/>
      <c r="G73" s="63">
        <v>2.8</v>
      </c>
      <c r="H73" s="63">
        <v>4.2300000000000004</v>
      </c>
      <c r="I73" s="63">
        <v>4</v>
      </c>
      <c r="J73" s="63">
        <v>3.85</v>
      </c>
      <c r="K73" s="63">
        <v>4.1500000000000004</v>
      </c>
      <c r="L73" s="63">
        <v>5</v>
      </c>
      <c r="M73" s="63">
        <f>+AVERAGE(G73:L73)</f>
        <v>4.0049999999999999</v>
      </c>
      <c r="N73" s="63">
        <f t="shared" ref="N73:X73" si="92">+AVERAGE(H73:M73)</f>
        <v>4.2058333333333335</v>
      </c>
      <c r="O73" s="63">
        <f t="shared" si="92"/>
        <v>4.2018055555555556</v>
      </c>
      <c r="P73" s="63">
        <f t="shared" si="92"/>
        <v>4.2354398148148151</v>
      </c>
      <c r="Q73" s="63">
        <f t="shared" si="92"/>
        <v>4.2996797839506176</v>
      </c>
      <c r="R73" s="63">
        <f t="shared" si="92"/>
        <v>4.3246264146090532</v>
      </c>
      <c r="S73" s="63">
        <f t="shared" si="92"/>
        <v>4.2120641503772287</v>
      </c>
      <c r="T73" s="63">
        <f t="shared" si="92"/>
        <v>4.2465748421067673</v>
      </c>
      <c r="U73" s="63">
        <f t="shared" si="92"/>
        <v>4.2533650935690064</v>
      </c>
      <c r="V73" s="63">
        <f t="shared" si="92"/>
        <v>4.2619583499045808</v>
      </c>
      <c r="W73" s="63">
        <f t="shared" si="92"/>
        <v>4.2663781057528753</v>
      </c>
      <c r="X73" s="63">
        <f t="shared" si="92"/>
        <v>4.2608278260532524</v>
      </c>
    </row>
    <row r="74" spans="2:24" x14ac:dyDescent="0.3">
      <c r="B74" t="s">
        <v>125</v>
      </c>
      <c r="C74" s="6" t="s">
        <v>126</v>
      </c>
      <c r="D74" s="174" t="s">
        <v>127</v>
      </c>
      <c r="E74" s="174"/>
      <c r="G74" s="63">
        <v>20.62</v>
      </c>
      <c r="H74" s="63">
        <v>25.18</v>
      </c>
      <c r="I74" s="63">
        <v>21.76</v>
      </c>
      <c r="J74" s="63">
        <v>23.41</v>
      </c>
      <c r="K74" s="63">
        <v>24.13</v>
      </c>
      <c r="L74" s="64">
        <f>+AVERAGE(G74:K74)</f>
        <v>23.02</v>
      </c>
      <c r="M74" s="64">
        <f t="shared" ref="M74:R74" si="93">+AVERAGE(H74:L74)</f>
        <v>23.499999999999996</v>
      </c>
      <c r="N74" s="64">
        <f t="shared" si="93"/>
        <v>23.163999999999998</v>
      </c>
      <c r="O74" s="64">
        <f t="shared" si="93"/>
        <v>23.444800000000001</v>
      </c>
      <c r="P74" s="64">
        <f t="shared" si="93"/>
        <v>23.45176</v>
      </c>
      <c r="Q74" s="64">
        <f t="shared" si="93"/>
        <v>23.316111999999997</v>
      </c>
      <c r="R74" s="64">
        <f t="shared" si="93"/>
        <v>23.375334400000003</v>
      </c>
      <c r="S74" s="64">
        <f>+AVERAGE(N74:R74)</f>
        <v>23.350401280000003</v>
      </c>
      <c r="T74" s="64">
        <f t="shared" ref="T74" si="94">+AVERAGE(O74:S74)</f>
        <v>23.387681535999999</v>
      </c>
      <c r="U74" s="64">
        <f t="shared" ref="U74" si="95">+AVERAGE(P74:T74)</f>
        <v>23.376257843200001</v>
      </c>
      <c r="V74" s="64">
        <f t="shared" ref="V74" si="96">+AVERAGE(Q74:U74)</f>
        <v>23.361157411840004</v>
      </c>
      <c r="W74" s="64">
        <f t="shared" ref="W74" si="97">+AVERAGE(R74:V74)</f>
        <v>23.370166494208</v>
      </c>
      <c r="X74" s="64">
        <f t="shared" ref="X74" si="98">+AVERAGE(S74:W74)</f>
        <v>23.369132913049601</v>
      </c>
    </row>
    <row r="75" spans="2:24" x14ac:dyDescent="0.3">
      <c r="B75" t="s">
        <v>117</v>
      </c>
      <c r="C75" s="6" t="s">
        <v>124</v>
      </c>
      <c r="D75" s="173" t="s">
        <v>128</v>
      </c>
      <c r="E75" s="173"/>
      <c r="G75" s="63">
        <v>8.57</v>
      </c>
      <c r="H75" s="63">
        <v>15.51</v>
      </c>
      <c r="I75" s="63">
        <v>18.61</v>
      </c>
      <c r="J75" s="63">
        <v>23.73</v>
      </c>
      <c r="K75" s="63">
        <v>21.21</v>
      </c>
      <c r="L75" s="63">
        <f>K75*(1+0.01)</f>
        <v>21.4221</v>
      </c>
      <c r="M75" s="63">
        <f t="shared" ref="M75:X75" si="99">L75*(1+0.01)</f>
        <v>21.636320999999999</v>
      </c>
      <c r="N75" s="63">
        <f t="shared" si="99"/>
        <v>21.85268421</v>
      </c>
      <c r="O75" s="63">
        <f t="shared" si="99"/>
        <v>22.071211052100001</v>
      </c>
      <c r="P75" s="63">
        <f t="shared" si="99"/>
        <v>22.291923162621</v>
      </c>
      <c r="Q75" s="63">
        <f t="shared" si="99"/>
        <v>22.514842394247211</v>
      </c>
      <c r="R75" s="63">
        <f t="shared" si="99"/>
        <v>22.739990818189682</v>
      </c>
      <c r="S75" s="63">
        <f t="shared" si="99"/>
        <v>22.96739072637158</v>
      </c>
      <c r="T75" s="63">
        <f t="shared" si="99"/>
        <v>23.197064633635296</v>
      </c>
      <c r="U75" s="63">
        <f t="shared" si="99"/>
        <v>23.42903527997165</v>
      </c>
      <c r="V75" s="63">
        <f t="shared" si="99"/>
        <v>23.663325632771368</v>
      </c>
      <c r="W75" s="63">
        <f t="shared" si="99"/>
        <v>23.899958889099082</v>
      </c>
      <c r="X75" s="63">
        <f t="shared" si="99"/>
        <v>24.138958477990073</v>
      </c>
    </row>
    <row r="76" spans="2:24" x14ac:dyDescent="0.3">
      <c r="B76" t="s">
        <v>129</v>
      </c>
      <c r="C76" s="6" t="s">
        <v>124</v>
      </c>
      <c r="D76" s="174" t="s">
        <v>32</v>
      </c>
      <c r="E76" s="174"/>
      <c r="G76" s="63">
        <v>1.03</v>
      </c>
      <c r="H76" s="63">
        <v>1.36</v>
      </c>
      <c r="I76" s="63">
        <v>1.58</v>
      </c>
      <c r="J76" s="63">
        <v>1.2</v>
      </c>
      <c r="K76" s="63">
        <v>1.26</v>
      </c>
      <c r="L76" s="63">
        <f>+K76*1.02</f>
        <v>1.2852000000000001</v>
      </c>
      <c r="M76" s="63">
        <f t="shared" ref="M76:X76" si="100">+L76*1.02</f>
        <v>1.3109040000000001</v>
      </c>
      <c r="N76" s="63">
        <f t="shared" si="100"/>
        <v>1.3371220800000001</v>
      </c>
      <c r="O76" s="63">
        <f t="shared" si="100"/>
        <v>1.3638645216</v>
      </c>
      <c r="P76" s="63">
        <f t="shared" si="100"/>
        <v>1.391141812032</v>
      </c>
      <c r="Q76" s="63">
        <f t="shared" si="100"/>
        <v>1.4189646482726401</v>
      </c>
      <c r="R76" s="63">
        <f t="shared" si="100"/>
        <v>1.4473439412380928</v>
      </c>
      <c r="S76" s="63">
        <f t="shared" si="100"/>
        <v>1.4762908200628548</v>
      </c>
      <c r="T76" s="63">
        <f t="shared" si="100"/>
        <v>1.5058166364641119</v>
      </c>
      <c r="U76" s="63">
        <f t="shared" si="100"/>
        <v>1.5359329691933941</v>
      </c>
      <c r="V76" s="63">
        <f t="shared" si="100"/>
        <v>1.566651628577262</v>
      </c>
      <c r="W76" s="63">
        <f t="shared" si="100"/>
        <v>1.5979846611488073</v>
      </c>
      <c r="X76" s="63">
        <f t="shared" si="100"/>
        <v>1.6299443543717835</v>
      </c>
    </row>
  </sheetData>
  <mergeCells count="4">
    <mergeCell ref="D75:E75"/>
    <mergeCell ref="D73:E73"/>
    <mergeCell ref="D74:E74"/>
    <mergeCell ref="D76:E7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CE3-FF17-4A03-BC39-771E741BBC9B}">
  <dimension ref="B2:X96"/>
  <sheetViews>
    <sheetView showGridLines="0" topLeftCell="A27" workbookViewId="0">
      <selection activeCell="D103" sqref="D103"/>
    </sheetView>
  </sheetViews>
  <sheetFormatPr baseColWidth="10" defaultColWidth="8.88671875" defaultRowHeight="14.4" x14ac:dyDescent="0.3"/>
  <cols>
    <col min="2" max="2" width="51.109375" customWidth="1"/>
    <col min="3" max="3" width="12.5546875" style="6" customWidth="1"/>
    <col min="4" max="4" width="13" customWidth="1"/>
    <col min="5" max="5" width="9.109375"/>
    <col min="6" max="6" width="9.5546875" bestFit="1" customWidth="1"/>
    <col min="7" max="11" width="11.44140625" bestFit="1" customWidth="1"/>
    <col min="12" max="24" width="9.109375"/>
  </cols>
  <sheetData>
    <row r="2" spans="2:24" ht="15.6" x14ac:dyDescent="0.3">
      <c r="B2" s="128" t="s">
        <v>6</v>
      </c>
      <c r="C2" s="12"/>
      <c r="D2" s="12"/>
      <c r="E2" s="11"/>
      <c r="F2" s="11"/>
    </row>
    <row r="3" spans="2:24" ht="15.6" x14ac:dyDescent="0.3">
      <c r="B3" s="129" t="s">
        <v>2</v>
      </c>
      <c r="C3" s="12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2:24" ht="15.6" x14ac:dyDescent="0.3">
      <c r="B4" s="127" t="s">
        <v>130</v>
      </c>
      <c r="C4" s="12"/>
      <c r="D4" s="12"/>
      <c r="E4" s="11"/>
      <c r="F4" s="11"/>
      <c r="G4" s="13">
        <v>2020</v>
      </c>
      <c r="H4" s="13">
        <v>2021</v>
      </c>
      <c r="I4" s="13">
        <v>2022</v>
      </c>
      <c r="J4" s="13">
        <v>2023</v>
      </c>
      <c r="K4" s="13">
        <v>2024</v>
      </c>
      <c r="L4" s="13">
        <v>2025</v>
      </c>
      <c r="M4" s="13">
        <v>2026</v>
      </c>
      <c r="N4" s="13">
        <v>2027</v>
      </c>
      <c r="O4" s="13">
        <v>2028</v>
      </c>
      <c r="P4" s="13">
        <v>2029</v>
      </c>
      <c r="Q4" s="13">
        <v>2030</v>
      </c>
      <c r="R4" s="13">
        <v>2031</v>
      </c>
      <c r="S4" s="13">
        <v>2032</v>
      </c>
      <c r="T4" s="13">
        <v>2033</v>
      </c>
      <c r="U4" s="13">
        <v>2034</v>
      </c>
      <c r="V4" s="13">
        <v>2035</v>
      </c>
      <c r="W4" s="13">
        <v>2036</v>
      </c>
      <c r="X4" s="13">
        <v>2037</v>
      </c>
    </row>
    <row r="5" spans="2:24" x14ac:dyDescent="0.3">
      <c r="B5" s="11"/>
      <c r="C5" s="12"/>
      <c r="D5" s="1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2:24" x14ac:dyDescent="0.3">
      <c r="B6" s="14" t="s">
        <v>131</v>
      </c>
      <c r="C6" s="15" t="s">
        <v>9</v>
      </c>
      <c r="D6" s="15" t="s">
        <v>10</v>
      </c>
      <c r="E6" s="133"/>
      <c r="F6" s="13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8" spans="2:24" x14ac:dyDescent="0.3">
      <c r="B8" s="5" t="s">
        <v>132</v>
      </c>
      <c r="G8" t="s">
        <v>133</v>
      </c>
      <c r="H8" t="s">
        <v>133</v>
      </c>
      <c r="I8" t="s">
        <v>133</v>
      </c>
    </row>
    <row r="9" spans="2:24" x14ac:dyDescent="0.3">
      <c r="B9" s="1" t="s">
        <v>134</v>
      </c>
      <c r="E9" s="134"/>
      <c r="G9" s="38">
        <v>7984.9</v>
      </c>
      <c r="H9" s="38">
        <v>10934.1</v>
      </c>
      <c r="I9" s="38">
        <v>10047.9</v>
      </c>
      <c r="J9" s="38">
        <v>9895.7999999999993</v>
      </c>
      <c r="K9" s="38">
        <v>11433.4</v>
      </c>
    </row>
    <row r="10" spans="2:24" x14ac:dyDescent="0.3">
      <c r="B10" s="1"/>
      <c r="G10" s="38"/>
      <c r="H10" s="38"/>
      <c r="I10" s="38"/>
      <c r="J10" s="38"/>
      <c r="K10" s="38"/>
    </row>
    <row r="11" spans="2:24" x14ac:dyDescent="0.3">
      <c r="B11" s="5" t="s">
        <v>135</v>
      </c>
      <c r="G11" s="38"/>
      <c r="H11" s="38"/>
      <c r="I11" s="38"/>
      <c r="J11" s="38"/>
      <c r="K11" s="38"/>
    </row>
    <row r="12" spans="2:24" ht="28.8" x14ac:dyDescent="0.3">
      <c r="B12" s="1" t="s">
        <v>136</v>
      </c>
      <c r="E12" s="134"/>
      <c r="G12" s="38">
        <v>3929.8</v>
      </c>
      <c r="H12" s="38">
        <v>3894.4</v>
      </c>
      <c r="I12" s="38">
        <v>4649.1000000000004</v>
      </c>
      <c r="J12" s="38">
        <v>4687.7</v>
      </c>
      <c r="K12" s="38">
        <v>4841.3999999999996</v>
      </c>
    </row>
    <row r="13" spans="2:24" x14ac:dyDescent="0.3">
      <c r="B13" s="1" t="s">
        <v>137</v>
      </c>
      <c r="G13" s="38">
        <v>126.2</v>
      </c>
      <c r="H13" s="38">
        <v>125.2</v>
      </c>
      <c r="I13" s="38">
        <v>125</v>
      </c>
      <c r="J13" s="38">
        <v>127.2</v>
      </c>
      <c r="K13" s="38">
        <v>130.5</v>
      </c>
    </row>
    <row r="14" spans="2:24" x14ac:dyDescent="0.3">
      <c r="B14" s="1" t="s">
        <v>138</v>
      </c>
      <c r="G14" s="38">
        <v>775.6</v>
      </c>
      <c r="H14" s="38">
        <v>806</v>
      </c>
      <c r="I14" s="38">
        <v>796.3</v>
      </c>
      <c r="J14" s="38">
        <v>833.6</v>
      </c>
      <c r="K14" s="38">
        <v>845.9</v>
      </c>
    </row>
    <row r="15" spans="2:24" x14ac:dyDescent="0.3">
      <c r="B15" s="1" t="s">
        <v>139</v>
      </c>
      <c r="G15" s="38">
        <v>32.6</v>
      </c>
      <c r="H15" s="38">
        <v>43.4</v>
      </c>
      <c r="I15" s="38">
        <v>41.7</v>
      </c>
      <c r="J15" s="38">
        <v>55</v>
      </c>
      <c r="K15" s="38">
        <v>60.9</v>
      </c>
    </row>
    <row r="16" spans="2:24" x14ac:dyDescent="0.3">
      <c r="B16" s="1" t="s">
        <v>140</v>
      </c>
      <c r="E16" s="134"/>
      <c r="G16" s="143">
        <v>4864.2</v>
      </c>
      <c r="H16" s="143">
        <v>4869</v>
      </c>
      <c r="I16" s="143">
        <v>5612.1</v>
      </c>
      <c r="J16" s="143">
        <v>5703.5</v>
      </c>
      <c r="K16" s="143">
        <v>5878.7</v>
      </c>
    </row>
    <row r="17" spans="2:11" x14ac:dyDescent="0.3">
      <c r="B17" s="16" t="s">
        <v>141</v>
      </c>
      <c r="C17" s="140"/>
      <c r="D17" s="17"/>
      <c r="E17" s="134"/>
      <c r="G17" s="38">
        <v>3120.7</v>
      </c>
      <c r="H17" s="38">
        <v>6065.1</v>
      </c>
      <c r="I17" s="38">
        <v>4435.8</v>
      </c>
      <c r="J17" s="38">
        <v>4192.3</v>
      </c>
      <c r="K17" s="38">
        <v>5554.7</v>
      </c>
    </row>
    <row r="18" spans="2:11" x14ac:dyDescent="0.3">
      <c r="B18" s="1"/>
      <c r="G18" s="38"/>
      <c r="H18" s="38"/>
      <c r="I18" s="38"/>
      <c r="J18" s="38"/>
      <c r="K18" s="38"/>
    </row>
    <row r="19" spans="2:11" x14ac:dyDescent="0.3">
      <c r="B19" s="1"/>
      <c r="F19" t="s">
        <v>133</v>
      </c>
      <c r="G19" s="38" t="s">
        <v>133</v>
      </c>
      <c r="H19" s="38" t="s">
        <v>133</v>
      </c>
      <c r="I19" s="38" t="s">
        <v>133</v>
      </c>
      <c r="J19" s="38"/>
      <c r="K19" s="38"/>
    </row>
    <row r="20" spans="2:11" x14ac:dyDescent="0.3">
      <c r="B20" s="5" t="s">
        <v>142</v>
      </c>
      <c r="G20" s="38">
        <v>-393.4</v>
      </c>
      <c r="H20" s="38">
        <v>-387.9</v>
      </c>
      <c r="I20" s="38">
        <v>-387.1</v>
      </c>
      <c r="J20" s="38">
        <v>-376.3</v>
      </c>
      <c r="K20" s="38">
        <v>-376.5</v>
      </c>
    </row>
    <row r="21" spans="2:11" x14ac:dyDescent="0.3">
      <c r="B21" s="1" t="s">
        <v>143</v>
      </c>
      <c r="G21" s="38">
        <v>26.8</v>
      </c>
      <c r="H21" s="38">
        <v>30.8</v>
      </c>
      <c r="I21" s="38">
        <v>47</v>
      </c>
      <c r="J21" s="38">
        <v>49.6</v>
      </c>
      <c r="K21" s="38">
        <v>42.4</v>
      </c>
    </row>
    <row r="22" spans="2:11" x14ac:dyDescent="0.3">
      <c r="B22" s="1" t="s">
        <v>144</v>
      </c>
      <c r="G22" s="38">
        <v>-27.5</v>
      </c>
      <c r="H22" s="38">
        <v>-18.399999999999999</v>
      </c>
      <c r="I22" s="38">
        <v>117.1</v>
      </c>
      <c r="J22" s="38">
        <v>3.6</v>
      </c>
      <c r="K22" s="38">
        <v>5.5</v>
      </c>
    </row>
    <row r="23" spans="2:11" x14ac:dyDescent="0.3">
      <c r="B23" s="1" t="s">
        <v>145</v>
      </c>
      <c r="G23" s="38">
        <v>19.2</v>
      </c>
      <c r="H23" s="38">
        <v>7.2</v>
      </c>
      <c r="I23" s="38">
        <v>35</v>
      </c>
      <c r="J23" s="38">
        <v>86.6</v>
      </c>
      <c r="K23" s="38">
        <v>131.4</v>
      </c>
    </row>
    <row r="24" spans="2:11" x14ac:dyDescent="0.3">
      <c r="B24" s="1" t="s">
        <v>146</v>
      </c>
      <c r="G24" s="143">
        <v>-374.9</v>
      </c>
      <c r="H24" s="143">
        <v>-368.3</v>
      </c>
      <c r="I24" s="143">
        <v>-188</v>
      </c>
      <c r="J24" s="143">
        <v>-236.5</v>
      </c>
      <c r="K24" s="143">
        <v>-197.2</v>
      </c>
    </row>
    <row r="25" spans="2:11" x14ac:dyDescent="0.3">
      <c r="B25" s="16" t="s">
        <v>147</v>
      </c>
      <c r="C25" s="140"/>
      <c r="D25" s="17"/>
      <c r="E25" s="134"/>
      <c r="G25" s="38">
        <v>2745.8</v>
      </c>
      <c r="H25" s="38">
        <v>5696.8</v>
      </c>
      <c r="I25" s="38">
        <v>4247.8</v>
      </c>
      <c r="J25" s="38">
        <v>3955.8</v>
      </c>
      <c r="K25" s="38">
        <v>5357.5</v>
      </c>
    </row>
    <row r="26" spans="2:11" x14ac:dyDescent="0.3">
      <c r="B26" s="1"/>
      <c r="G26" s="38"/>
      <c r="H26" s="38"/>
      <c r="I26" s="38"/>
      <c r="J26" s="38"/>
      <c r="K26" s="38"/>
    </row>
    <row r="27" spans="2:11" x14ac:dyDescent="0.3">
      <c r="B27" s="1" t="s">
        <v>148</v>
      </c>
      <c r="G27" s="38">
        <v>1237.9000000000001</v>
      </c>
      <c r="H27" s="38">
        <v>2425.5</v>
      </c>
      <c r="I27" s="38">
        <v>1477.5</v>
      </c>
      <c r="J27" s="38">
        <v>1578</v>
      </c>
      <c r="K27" s="38">
        <v>2027.4</v>
      </c>
    </row>
    <row r="28" spans="2:11" x14ac:dyDescent="0.3">
      <c r="B28" s="1" t="s">
        <v>149</v>
      </c>
      <c r="G28" s="143">
        <v>-63.5</v>
      </c>
      <c r="H28" s="143">
        <v>-126.3</v>
      </c>
      <c r="I28" s="143">
        <v>118.6</v>
      </c>
      <c r="J28" s="143">
        <v>-59.1</v>
      </c>
      <c r="K28" s="143">
        <v>-52.2</v>
      </c>
    </row>
    <row r="29" spans="2:11" x14ac:dyDescent="0.3">
      <c r="B29" s="16" t="s">
        <v>150</v>
      </c>
      <c r="C29" s="140"/>
      <c r="D29" s="17"/>
      <c r="E29" s="134"/>
      <c r="G29" s="38">
        <v>1571.4</v>
      </c>
      <c r="H29" s="38">
        <v>3397.6</v>
      </c>
      <c r="I29" s="38">
        <v>2651.7</v>
      </c>
      <c r="J29" s="38">
        <v>2436.9</v>
      </c>
      <c r="K29" s="38">
        <v>3382.3</v>
      </c>
    </row>
    <row r="30" spans="2:11" x14ac:dyDescent="0.3">
      <c r="B30" s="1"/>
      <c r="G30" s="38"/>
      <c r="H30" s="38"/>
      <c r="I30" s="38"/>
      <c r="J30" s="38"/>
      <c r="K30" s="38"/>
    </row>
    <row r="31" spans="2:11" ht="28.8" x14ac:dyDescent="0.3">
      <c r="B31" s="1" t="s">
        <v>151</v>
      </c>
      <c r="G31" s="143">
        <v>6.4</v>
      </c>
      <c r="H31" s="143">
        <v>13.6</v>
      </c>
      <c r="I31" s="143">
        <v>-3.7</v>
      </c>
      <c r="J31" s="143">
        <v>-2.2000000000000002</v>
      </c>
      <c r="K31" s="143">
        <v>6.4</v>
      </c>
    </row>
    <row r="32" spans="2:11" x14ac:dyDescent="0.3">
      <c r="B32" s="16" t="s">
        <v>152</v>
      </c>
      <c r="C32" s="140"/>
      <c r="D32" s="17"/>
      <c r="E32" s="134"/>
      <c r="G32" s="38">
        <v>1577.8</v>
      </c>
      <c r="H32" s="38">
        <v>3411.2</v>
      </c>
      <c r="I32" s="38">
        <v>2648</v>
      </c>
      <c r="J32" s="38">
        <v>2434.6999999999998</v>
      </c>
      <c r="K32" s="38">
        <v>3388.7</v>
      </c>
    </row>
    <row r="33" spans="2:24" x14ac:dyDescent="0.3">
      <c r="B33" s="1"/>
      <c r="G33" s="38"/>
      <c r="H33" s="38"/>
      <c r="I33" s="38"/>
      <c r="J33" s="38"/>
      <c r="K33" s="38"/>
    </row>
    <row r="34" spans="2:24" x14ac:dyDescent="0.3">
      <c r="B34" s="1"/>
      <c r="G34" s="38"/>
      <c r="H34" s="38"/>
      <c r="I34" s="38"/>
      <c r="J34" s="38"/>
      <c r="K34" s="38"/>
    </row>
    <row r="35" spans="2:24" x14ac:dyDescent="0.3">
      <c r="B35" s="1" t="s">
        <v>153</v>
      </c>
      <c r="G35" s="143">
        <v>7.4</v>
      </c>
      <c r="H35" s="143">
        <v>14.1</v>
      </c>
      <c r="I35" s="143">
        <v>9.5</v>
      </c>
      <c r="J35" s="143">
        <v>9.5</v>
      </c>
      <c r="K35" s="143">
        <v>11.8</v>
      </c>
    </row>
    <row r="36" spans="2:24" x14ac:dyDescent="0.3">
      <c r="B36" s="16" t="s">
        <v>154</v>
      </c>
      <c r="C36" s="140"/>
      <c r="D36" s="17"/>
      <c r="E36" s="134"/>
      <c r="G36" s="38">
        <v>1570.4</v>
      </c>
      <c r="H36" s="38">
        <v>3397.1</v>
      </c>
      <c r="I36" s="38">
        <v>2638.5</v>
      </c>
      <c r="J36" s="38">
        <v>2425.1999999999998</v>
      </c>
      <c r="K36" s="38">
        <v>3376.9</v>
      </c>
    </row>
    <row r="37" spans="2:24" x14ac:dyDescent="0.3">
      <c r="G37" s="38"/>
      <c r="H37" s="38"/>
      <c r="I37" s="38"/>
      <c r="J37" s="38"/>
      <c r="K37" s="38"/>
    </row>
    <row r="38" spans="2:24" x14ac:dyDescent="0.3">
      <c r="G38" s="38"/>
      <c r="H38" s="38"/>
      <c r="I38" s="38"/>
      <c r="J38" s="38"/>
      <c r="K38" s="38"/>
    </row>
    <row r="39" spans="2:24" x14ac:dyDescent="0.3">
      <c r="B39" s="14" t="s">
        <v>155</v>
      </c>
      <c r="C39" s="15"/>
      <c r="D39" s="15"/>
      <c r="E39" s="133"/>
      <c r="F39" s="133"/>
      <c r="G39" s="91"/>
      <c r="H39" s="91"/>
      <c r="I39" s="91"/>
      <c r="J39" s="91"/>
      <c r="K39" s="91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2:24" x14ac:dyDescent="0.3">
      <c r="G40" s="38"/>
      <c r="H40" s="38"/>
      <c r="I40" s="38"/>
      <c r="J40" s="38"/>
      <c r="K40" s="38"/>
    </row>
    <row r="41" spans="2:24" x14ac:dyDescent="0.3">
      <c r="B41" t="s">
        <v>156</v>
      </c>
      <c r="G41" s="38"/>
      <c r="H41" s="38"/>
      <c r="I41" s="38"/>
      <c r="J41" s="38"/>
      <c r="K41" s="38"/>
    </row>
    <row r="42" spans="2:24" x14ac:dyDescent="0.3">
      <c r="B42" t="s">
        <v>157</v>
      </c>
      <c r="G42" s="38"/>
      <c r="H42" s="38"/>
      <c r="I42" s="38"/>
      <c r="J42" s="38"/>
      <c r="K42" s="38"/>
    </row>
    <row r="43" spans="2:24" x14ac:dyDescent="0.3">
      <c r="B43" t="s">
        <v>158</v>
      </c>
      <c r="G43" s="38">
        <v>2183.6</v>
      </c>
      <c r="H43" s="38">
        <v>3002</v>
      </c>
      <c r="I43" s="38">
        <v>2069.6999999999998</v>
      </c>
      <c r="J43" s="38">
        <v>1151.5</v>
      </c>
      <c r="K43" s="38">
        <v>3258.1</v>
      </c>
    </row>
    <row r="44" spans="2:24" x14ac:dyDescent="0.3">
      <c r="B44" t="s">
        <v>159</v>
      </c>
      <c r="G44" s="38">
        <v>410.8</v>
      </c>
      <c r="H44" s="38">
        <v>486.9</v>
      </c>
      <c r="I44" s="38">
        <v>208.3</v>
      </c>
      <c r="J44" s="38">
        <v>599.29999999999995</v>
      </c>
      <c r="K44" s="38">
        <v>245.3</v>
      </c>
    </row>
    <row r="45" spans="2:24" x14ac:dyDescent="0.3">
      <c r="B45" t="s">
        <v>160</v>
      </c>
      <c r="G45" s="38">
        <v>1068.9000000000001</v>
      </c>
      <c r="H45" s="38">
        <v>1358.7</v>
      </c>
      <c r="I45" s="38">
        <v>1394.1</v>
      </c>
      <c r="J45" s="38">
        <v>1141.0999999999999</v>
      </c>
      <c r="K45" s="38">
        <v>1189.5999999999999</v>
      </c>
    </row>
    <row r="46" spans="2:24" x14ac:dyDescent="0.3">
      <c r="B46" t="s">
        <v>161</v>
      </c>
      <c r="G46" s="38">
        <v>67.7</v>
      </c>
      <c r="H46" s="38">
        <v>87.9</v>
      </c>
      <c r="I46" s="38">
        <v>79.7</v>
      </c>
      <c r="J46" s="38">
        <v>87.2</v>
      </c>
      <c r="K46" s="38">
        <v>54.2</v>
      </c>
    </row>
    <row r="47" spans="2:24" x14ac:dyDescent="0.3">
      <c r="B47" t="s">
        <v>162</v>
      </c>
      <c r="G47" s="38">
        <v>950.2</v>
      </c>
      <c r="H47" s="38">
        <v>972.9</v>
      </c>
      <c r="I47" s="38">
        <v>1013.9</v>
      </c>
      <c r="J47" s="38">
        <v>1016.9</v>
      </c>
      <c r="K47" s="38">
        <v>1048.9000000000001</v>
      </c>
    </row>
    <row r="48" spans="2:24" x14ac:dyDescent="0.3">
      <c r="B48" t="s">
        <v>163</v>
      </c>
      <c r="G48" s="38">
        <v>104.8</v>
      </c>
      <c r="H48" s="38">
        <v>197.7</v>
      </c>
      <c r="I48" s="38">
        <v>377.6</v>
      </c>
      <c r="J48" s="38">
        <v>395.4</v>
      </c>
      <c r="K48" s="38">
        <v>346.7</v>
      </c>
    </row>
    <row r="49" spans="2:11" x14ac:dyDescent="0.3">
      <c r="B49" t="s">
        <v>164</v>
      </c>
      <c r="G49" s="143">
        <v>29.2</v>
      </c>
      <c r="H49" s="143">
        <v>33.5</v>
      </c>
      <c r="I49" s="143">
        <v>44.4</v>
      </c>
      <c r="J49" s="143">
        <v>38.1</v>
      </c>
      <c r="K49" s="143">
        <v>31.7</v>
      </c>
    </row>
    <row r="50" spans="2:11" x14ac:dyDescent="0.3">
      <c r="B50" s="16" t="s">
        <v>165</v>
      </c>
      <c r="C50" s="140"/>
      <c r="D50" s="17"/>
      <c r="E50" s="134"/>
      <c r="G50" s="38">
        <v>4815.2</v>
      </c>
      <c r="H50" s="38">
        <v>6139.6</v>
      </c>
      <c r="I50" s="38">
        <v>5187.7</v>
      </c>
      <c r="J50" s="38">
        <v>4429.5</v>
      </c>
      <c r="K50" s="38">
        <v>6174.5</v>
      </c>
    </row>
    <row r="51" spans="2:11" x14ac:dyDescent="0.3">
      <c r="G51" s="38"/>
      <c r="H51" s="38"/>
      <c r="I51" s="38"/>
      <c r="J51" s="38"/>
      <c r="K51" s="38"/>
    </row>
    <row r="52" spans="2:11" x14ac:dyDescent="0.3">
      <c r="B52" t="s">
        <v>166</v>
      </c>
      <c r="G52" s="38"/>
      <c r="H52" s="38"/>
      <c r="I52" s="38"/>
      <c r="J52" s="38"/>
      <c r="K52" s="38"/>
    </row>
    <row r="53" spans="2:11" x14ac:dyDescent="0.3">
      <c r="B53" t="s">
        <v>167</v>
      </c>
      <c r="G53" s="38">
        <v>9458.7000000000007</v>
      </c>
      <c r="H53" s="38">
        <v>9464.4</v>
      </c>
      <c r="I53" s="38">
        <v>9596.6</v>
      </c>
      <c r="J53" s="38">
        <v>9782.9</v>
      </c>
      <c r="K53" s="38">
        <v>9883.2999999999993</v>
      </c>
    </row>
    <row r="54" spans="2:11" x14ac:dyDescent="0.3">
      <c r="B54" t="s">
        <v>168</v>
      </c>
      <c r="G54" s="38">
        <v>1125</v>
      </c>
      <c r="H54" s="38">
        <v>1097.5999999999999</v>
      </c>
      <c r="I54" s="38">
        <v>1064.3</v>
      </c>
      <c r="J54" s="38">
        <v>1121.7</v>
      </c>
      <c r="K54" s="38">
        <v>1145.8</v>
      </c>
    </row>
    <row r="55" spans="2:11" x14ac:dyDescent="0.3">
      <c r="B55" t="s">
        <v>169</v>
      </c>
      <c r="G55" s="38">
        <v>143</v>
      </c>
      <c r="H55" s="38">
        <v>138.1</v>
      </c>
      <c r="I55" s="38">
        <v>134.69999999999999</v>
      </c>
      <c r="J55" s="38">
        <v>130.19999999999999</v>
      </c>
      <c r="K55" s="38">
        <v>124.6</v>
      </c>
    </row>
    <row r="56" spans="2:11" x14ac:dyDescent="0.3">
      <c r="B56" t="s">
        <v>78</v>
      </c>
      <c r="G56" s="38">
        <v>979</v>
      </c>
      <c r="H56" s="38">
        <v>916.3</v>
      </c>
      <c r="I56" s="38">
        <v>851.4</v>
      </c>
      <c r="J56" s="38">
        <v>775.4</v>
      </c>
      <c r="K56" s="38">
        <v>739.5</v>
      </c>
    </row>
    <row r="57" spans="2:11" x14ac:dyDescent="0.3">
      <c r="B57" t="s">
        <v>170</v>
      </c>
      <c r="G57" s="38">
        <v>230</v>
      </c>
      <c r="H57" s="38">
        <v>316.2</v>
      </c>
      <c r="I57" s="38">
        <v>237.3</v>
      </c>
      <c r="J57" s="38">
        <v>256.10000000000002</v>
      </c>
      <c r="K57" s="38">
        <v>310.60000000000002</v>
      </c>
    </row>
    <row r="58" spans="2:11" x14ac:dyDescent="0.3">
      <c r="B58" t="s">
        <v>171</v>
      </c>
      <c r="G58" s="38">
        <v>114.3</v>
      </c>
      <c r="H58" s="38">
        <v>115.4</v>
      </c>
      <c r="I58" s="38">
        <v>110.8</v>
      </c>
      <c r="J58" s="38">
        <v>108.2</v>
      </c>
      <c r="K58" s="38">
        <v>111.9</v>
      </c>
    </row>
    <row r="59" spans="2:11" x14ac:dyDescent="0.3">
      <c r="B59" t="s">
        <v>172</v>
      </c>
      <c r="G59" s="143">
        <v>81.3</v>
      </c>
      <c r="H59" s="143">
        <v>110</v>
      </c>
      <c r="I59" s="143">
        <v>94.6</v>
      </c>
      <c r="J59" s="143">
        <v>121.3</v>
      </c>
      <c r="K59" s="143">
        <v>223.5</v>
      </c>
    </row>
    <row r="60" spans="2:11" x14ac:dyDescent="0.3">
      <c r="B60" s="16" t="s">
        <v>173</v>
      </c>
      <c r="C60" s="140"/>
      <c r="D60" s="17"/>
      <c r="E60" s="134"/>
      <c r="G60" s="38">
        <v>12131.3</v>
      </c>
      <c r="H60" s="38">
        <v>12158</v>
      </c>
      <c r="I60" s="38">
        <v>12089.7</v>
      </c>
      <c r="J60" s="38">
        <v>12295.8</v>
      </c>
      <c r="K60" s="38">
        <v>12539.2</v>
      </c>
    </row>
    <row r="61" spans="2:11" x14ac:dyDescent="0.3">
      <c r="G61" s="38"/>
      <c r="H61" s="38"/>
      <c r="I61" s="38"/>
      <c r="J61" s="38"/>
      <c r="K61" s="38"/>
    </row>
    <row r="62" spans="2:11" x14ac:dyDescent="0.3">
      <c r="B62" s="8" t="s">
        <v>174</v>
      </c>
      <c r="G62" s="38">
        <v>16946.5</v>
      </c>
      <c r="H62" s="38">
        <v>18297.599999999999</v>
      </c>
      <c r="I62" s="38">
        <v>17277.400000000001</v>
      </c>
      <c r="J62" s="38">
        <v>16725.3</v>
      </c>
      <c r="K62" s="38">
        <v>18713.7</v>
      </c>
    </row>
    <row r="63" spans="2:11" x14ac:dyDescent="0.3">
      <c r="G63" s="38"/>
      <c r="H63" s="38"/>
      <c r="I63" s="38"/>
      <c r="J63" s="38"/>
      <c r="K63" s="38"/>
    </row>
    <row r="64" spans="2:11" x14ac:dyDescent="0.3">
      <c r="B64" t="s">
        <v>175</v>
      </c>
      <c r="G64" s="38"/>
      <c r="H64" s="38"/>
      <c r="I64" s="38"/>
      <c r="J64" s="38"/>
      <c r="K64" s="38"/>
    </row>
    <row r="65" spans="2:11" x14ac:dyDescent="0.3">
      <c r="B65" t="s">
        <v>176</v>
      </c>
      <c r="G65" s="38"/>
      <c r="H65" s="38"/>
      <c r="I65" s="38"/>
      <c r="J65" s="38" t="s">
        <v>133</v>
      </c>
      <c r="K65" s="38" t="s">
        <v>133</v>
      </c>
    </row>
    <row r="66" spans="2:11" x14ac:dyDescent="0.3">
      <c r="B66" t="s">
        <v>177</v>
      </c>
      <c r="G66" s="38" t="s">
        <v>178</v>
      </c>
      <c r="H66" s="38">
        <v>299.7</v>
      </c>
      <c r="I66" s="38"/>
      <c r="J66" s="38"/>
      <c r="K66" s="38">
        <v>499.8</v>
      </c>
    </row>
    <row r="67" spans="2:11" x14ac:dyDescent="0.3">
      <c r="B67" t="s">
        <v>179</v>
      </c>
      <c r="G67" s="38">
        <v>594.6</v>
      </c>
      <c r="H67" s="38">
        <v>591.9</v>
      </c>
      <c r="I67" s="38">
        <v>657.6</v>
      </c>
      <c r="J67" s="38">
        <v>652.6</v>
      </c>
      <c r="K67" s="38">
        <v>615.20000000000005</v>
      </c>
    </row>
    <row r="68" spans="2:11" x14ac:dyDescent="0.3">
      <c r="B68" t="s">
        <v>180</v>
      </c>
      <c r="G68" s="38">
        <v>340.9</v>
      </c>
      <c r="H68" s="38">
        <v>832.6</v>
      </c>
      <c r="I68" s="38">
        <v>138.1</v>
      </c>
      <c r="J68" s="38">
        <v>278.3</v>
      </c>
      <c r="K68" s="38">
        <v>635.20000000000005</v>
      </c>
    </row>
    <row r="69" spans="2:11" x14ac:dyDescent="0.3">
      <c r="B69" t="s">
        <v>181</v>
      </c>
      <c r="G69" s="38">
        <v>247.8</v>
      </c>
      <c r="H69" s="38">
        <v>325.7</v>
      </c>
      <c r="I69" s="38">
        <v>236.3</v>
      </c>
      <c r="J69" s="38">
        <v>245.7</v>
      </c>
      <c r="K69" s="38">
        <v>280.8</v>
      </c>
    </row>
    <row r="70" spans="2:11" x14ac:dyDescent="0.3">
      <c r="B70" t="s">
        <v>182</v>
      </c>
      <c r="G70" s="38">
        <v>98.6</v>
      </c>
      <c r="H70" s="38">
        <v>98.6</v>
      </c>
      <c r="I70" s="38">
        <v>97.1</v>
      </c>
      <c r="J70" s="38">
        <v>97.1</v>
      </c>
      <c r="K70" s="38">
        <v>97.1</v>
      </c>
    </row>
    <row r="71" spans="2:11" x14ac:dyDescent="0.3">
      <c r="B71" t="s">
        <v>183</v>
      </c>
      <c r="G71" s="38">
        <v>70.599999999999994</v>
      </c>
      <c r="H71" s="38">
        <v>73.900000000000006</v>
      </c>
      <c r="I71" s="38">
        <v>77.3</v>
      </c>
      <c r="J71" s="38">
        <v>78</v>
      </c>
      <c r="K71" s="38">
        <v>81.8</v>
      </c>
    </row>
    <row r="72" spans="2:11" x14ac:dyDescent="0.3">
      <c r="B72" t="s">
        <v>184</v>
      </c>
      <c r="G72" s="143">
        <v>32.299999999999997</v>
      </c>
      <c r="H72" s="143">
        <v>27.6</v>
      </c>
      <c r="I72" s="143">
        <v>29.3</v>
      </c>
      <c r="J72" s="143">
        <v>36.799999999999997</v>
      </c>
      <c r="K72" s="143">
        <v>38.1</v>
      </c>
    </row>
    <row r="73" spans="2:11" x14ac:dyDescent="0.3">
      <c r="B73" s="16" t="s">
        <v>185</v>
      </c>
      <c r="C73" s="140"/>
      <c r="D73" s="17"/>
      <c r="E73" s="134"/>
      <c r="G73" s="38">
        <v>1384.8</v>
      </c>
      <c r="H73" s="38">
        <v>2250</v>
      </c>
      <c r="I73" s="38">
        <v>1235.7</v>
      </c>
      <c r="J73" s="38">
        <v>1388.5</v>
      </c>
      <c r="K73" s="38">
        <v>2248</v>
      </c>
    </row>
    <row r="74" spans="2:11" x14ac:dyDescent="0.3">
      <c r="G74" s="38"/>
      <c r="H74" s="38"/>
      <c r="I74" s="38"/>
      <c r="J74" s="38"/>
      <c r="K74" s="38"/>
    </row>
    <row r="75" spans="2:11" x14ac:dyDescent="0.3">
      <c r="B75" t="s">
        <v>186</v>
      </c>
      <c r="G75" s="38"/>
      <c r="H75" s="38"/>
      <c r="I75" s="38"/>
      <c r="J75" s="38"/>
      <c r="K75" s="38"/>
    </row>
    <row r="76" spans="2:11" x14ac:dyDescent="0.3">
      <c r="B76" t="s">
        <v>187</v>
      </c>
      <c r="G76" s="38">
        <v>6544.2</v>
      </c>
      <c r="H76" s="38">
        <v>6247.9</v>
      </c>
      <c r="I76" s="38">
        <v>6251.2</v>
      </c>
      <c r="J76" s="38">
        <v>6254.6</v>
      </c>
      <c r="K76" s="38">
        <v>5758.5</v>
      </c>
    </row>
    <row r="77" spans="2:11" x14ac:dyDescent="0.3">
      <c r="B77" t="s">
        <v>188</v>
      </c>
      <c r="G77" s="38">
        <v>908.4</v>
      </c>
      <c r="H77" s="38">
        <v>842.4</v>
      </c>
      <c r="I77" s="38">
        <v>774.1</v>
      </c>
      <c r="J77" s="38">
        <v>697.4</v>
      </c>
      <c r="K77" s="38">
        <v>657.6</v>
      </c>
    </row>
    <row r="78" spans="2:11" x14ac:dyDescent="0.3">
      <c r="B78" t="s">
        <v>149</v>
      </c>
      <c r="G78" s="38">
        <v>159.4</v>
      </c>
      <c r="H78" s="38">
        <v>118.3</v>
      </c>
      <c r="I78" s="38">
        <v>161.19999999999999</v>
      </c>
      <c r="J78" s="38">
        <v>132.19999999999999</v>
      </c>
      <c r="K78" s="38">
        <v>124.5</v>
      </c>
    </row>
    <row r="79" spans="2:11" x14ac:dyDescent="0.3">
      <c r="B79" t="s">
        <v>189</v>
      </c>
      <c r="G79" s="38" t="s">
        <v>178</v>
      </c>
      <c r="H79" s="38" t="s">
        <v>178</v>
      </c>
      <c r="I79" s="38">
        <v>40.6</v>
      </c>
      <c r="J79" s="38">
        <v>92.7</v>
      </c>
      <c r="K79" s="38">
        <v>104.9</v>
      </c>
    </row>
    <row r="80" spans="2:11" x14ac:dyDescent="0.3">
      <c r="B80" t="s">
        <v>190</v>
      </c>
      <c r="G80" s="38">
        <v>128.69999999999999</v>
      </c>
      <c r="H80" s="38">
        <v>68.3</v>
      </c>
      <c r="I80" s="38">
        <v>82.4</v>
      </c>
      <c r="J80" s="38">
        <v>66.2</v>
      </c>
      <c r="K80" s="38">
        <v>35.6</v>
      </c>
    </row>
    <row r="81" spans="2:11" x14ac:dyDescent="0.3">
      <c r="B81" s="144" t="s">
        <v>191</v>
      </c>
      <c r="C81" s="145"/>
      <c r="D81" s="144"/>
      <c r="G81" s="143">
        <v>545</v>
      </c>
      <c r="H81" s="143">
        <v>562.9</v>
      </c>
      <c r="I81" s="143">
        <v>585.29999999999995</v>
      </c>
      <c r="J81" s="143">
        <v>612.5</v>
      </c>
      <c r="K81" s="143">
        <v>546.1</v>
      </c>
    </row>
    <row r="82" spans="2:11" x14ac:dyDescent="0.3">
      <c r="B82" s="8" t="s">
        <v>192</v>
      </c>
      <c r="G82" s="38">
        <v>8285.7000000000007</v>
      </c>
      <c r="H82" s="38">
        <v>7839.8</v>
      </c>
      <c r="I82" s="38">
        <v>7894.8</v>
      </c>
      <c r="J82" s="38">
        <v>7855.6</v>
      </c>
      <c r="K82" s="38">
        <v>7227.2</v>
      </c>
    </row>
    <row r="83" spans="2:11" x14ac:dyDescent="0.3">
      <c r="G83" s="38"/>
      <c r="H83" s="38"/>
      <c r="I83" s="38"/>
      <c r="J83" s="38"/>
      <c r="K83" s="38"/>
    </row>
    <row r="84" spans="2:11" x14ac:dyDescent="0.3">
      <c r="B84" s="8" t="s">
        <v>193</v>
      </c>
      <c r="G84" s="38">
        <v>9670.5</v>
      </c>
      <c r="H84" s="38">
        <v>10089.799999999999</v>
      </c>
      <c r="I84" s="38">
        <v>9130.5</v>
      </c>
      <c r="J84" s="38">
        <v>9244.1</v>
      </c>
      <c r="K84" s="38">
        <v>9475.2000000000007</v>
      </c>
    </row>
    <row r="85" spans="2:11" x14ac:dyDescent="0.3">
      <c r="G85" s="38"/>
      <c r="H85" s="38"/>
      <c r="I85" s="38"/>
      <c r="J85" s="38"/>
      <c r="K85" s="38"/>
    </row>
    <row r="86" spans="2:11" x14ac:dyDescent="0.3">
      <c r="B86" t="s">
        <v>194</v>
      </c>
      <c r="G86" s="38"/>
      <c r="H86" s="38"/>
      <c r="I86" s="38"/>
      <c r="J86" s="38"/>
      <c r="K86" s="38"/>
    </row>
    <row r="87" spans="2:11" x14ac:dyDescent="0.3">
      <c r="B87" t="s">
        <v>195</v>
      </c>
      <c r="G87" s="38">
        <v>8.8000000000000007</v>
      </c>
      <c r="H87" s="38">
        <v>8.8000000000000007</v>
      </c>
      <c r="I87" s="38">
        <v>8.8000000000000007</v>
      </c>
      <c r="J87" s="38">
        <v>8.8000000000000007</v>
      </c>
      <c r="K87" s="38">
        <v>8.8000000000000007</v>
      </c>
    </row>
    <row r="88" spans="2:11" x14ac:dyDescent="0.3">
      <c r="B88" t="s">
        <v>196</v>
      </c>
      <c r="G88" s="38">
        <v>3441.5</v>
      </c>
      <c r="H88" s="38">
        <v>3454.1</v>
      </c>
      <c r="I88" s="38">
        <v>3489.7</v>
      </c>
      <c r="J88" s="38">
        <v>3532.8</v>
      </c>
      <c r="K88" s="38">
        <v>5026</v>
      </c>
    </row>
    <row r="89" spans="2:11" x14ac:dyDescent="0.3">
      <c r="B89" t="s">
        <v>197</v>
      </c>
      <c r="G89" s="38">
        <v>6846.4</v>
      </c>
      <c r="H89" s="38">
        <v>7769.7</v>
      </c>
      <c r="I89" s="38">
        <v>7702.3</v>
      </c>
      <c r="J89" s="38">
        <v>7033.5</v>
      </c>
      <c r="K89" s="38">
        <v>6839.6</v>
      </c>
    </row>
    <row r="90" spans="2:11" x14ac:dyDescent="0.3">
      <c r="B90" t="s">
        <v>198</v>
      </c>
      <c r="G90" s="38">
        <v>-8.4</v>
      </c>
      <c r="H90" s="38">
        <v>-9.4</v>
      </c>
      <c r="I90" s="38">
        <v>-9</v>
      </c>
      <c r="J90" s="38">
        <v>-8</v>
      </c>
      <c r="K90" s="38">
        <v>-2.2000000000000002</v>
      </c>
    </row>
    <row r="91" spans="2:11" x14ac:dyDescent="0.3">
      <c r="B91" t="s">
        <v>199</v>
      </c>
      <c r="G91" s="38">
        <v>-3063.5</v>
      </c>
      <c r="H91" s="38">
        <v>-3074</v>
      </c>
      <c r="I91" s="38">
        <v>-3107.6</v>
      </c>
      <c r="J91" s="38">
        <v>-3149</v>
      </c>
      <c r="K91" s="38">
        <v>-2700.7</v>
      </c>
    </row>
    <row r="92" spans="2:11" x14ac:dyDescent="0.3">
      <c r="B92" t="s">
        <v>200</v>
      </c>
      <c r="G92" s="38">
        <v>7224.8</v>
      </c>
      <c r="H92" s="38">
        <v>8149.2</v>
      </c>
      <c r="I92" s="38">
        <v>8084.2</v>
      </c>
      <c r="J92" s="38">
        <v>7418.1</v>
      </c>
      <c r="K92" s="38">
        <v>9171.5</v>
      </c>
    </row>
    <row r="93" spans="2:11" x14ac:dyDescent="0.3">
      <c r="B93" t="s">
        <v>201</v>
      </c>
      <c r="G93" s="143">
        <v>51.2</v>
      </c>
      <c r="H93" s="143">
        <v>58.6</v>
      </c>
      <c r="I93" s="143">
        <v>62.7</v>
      </c>
      <c r="J93" s="143">
        <v>63.1</v>
      </c>
      <c r="K93" s="143">
        <v>66.599999999999994</v>
      </c>
    </row>
    <row r="94" spans="2:11" x14ac:dyDescent="0.3">
      <c r="B94" s="16" t="s">
        <v>202</v>
      </c>
      <c r="C94" s="140"/>
      <c r="D94" s="17"/>
      <c r="E94" s="134"/>
      <c r="G94" s="38">
        <v>7276</v>
      </c>
      <c r="H94" s="38">
        <v>8207.7999999999993</v>
      </c>
      <c r="I94" s="38">
        <v>8146.9</v>
      </c>
      <c r="J94" s="38">
        <v>7481.2</v>
      </c>
      <c r="K94" s="38">
        <v>9238.1</v>
      </c>
    </row>
    <row r="95" spans="2:11" x14ac:dyDescent="0.3">
      <c r="G95" s="38"/>
      <c r="H95" s="38"/>
      <c r="I95" s="38"/>
      <c r="J95" s="38"/>
      <c r="K95" s="38"/>
    </row>
    <row r="96" spans="2:11" x14ac:dyDescent="0.3">
      <c r="B96" s="8" t="s">
        <v>203</v>
      </c>
      <c r="G96" s="38">
        <v>16946.5</v>
      </c>
      <c r="H96" s="38">
        <v>18297.599999999999</v>
      </c>
      <c r="I96" s="38">
        <v>17277.400000000001</v>
      </c>
      <c r="J96" s="38">
        <v>16725.3</v>
      </c>
      <c r="K96" s="38">
        <v>18713.3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3906-FF7B-4516-86FA-CB8EB540494E}">
  <sheetPr>
    <tabColor theme="3" tint="0.499984740745262"/>
  </sheetPr>
  <dimension ref="B2:X53"/>
  <sheetViews>
    <sheetView showGridLines="0" topLeftCell="A4" workbookViewId="0">
      <selection activeCell="I56" sqref="I56"/>
    </sheetView>
  </sheetViews>
  <sheetFormatPr baseColWidth="10" defaultColWidth="9.109375" defaultRowHeight="14.4" x14ac:dyDescent="0.3"/>
  <cols>
    <col min="2" max="2" width="36.5546875" customWidth="1"/>
    <col min="3" max="3" width="15.44140625" style="6" customWidth="1"/>
    <col min="4" max="4" width="8.88671875"/>
    <col min="7" max="24" width="8.88671875" customWidth="1"/>
  </cols>
  <sheetData>
    <row r="2" spans="2:24" ht="15.6" x14ac:dyDescent="0.3">
      <c r="B2" s="128" t="s">
        <v>6</v>
      </c>
      <c r="C2" s="12"/>
      <c r="D2" s="12"/>
      <c r="E2" s="11"/>
      <c r="F2" s="11"/>
    </row>
    <row r="3" spans="2:24" ht="15.6" x14ac:dyDescent="0.3">
      <c r="B3" s="129" t="s">
        <v>2</v>
      </c>
      <c r="C3" s="12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2:24" ht="15.6" x14ac:dyDescent="0.3">
      <c r="B4" s="127" t="s">
        <v>204</v>
      </c>
      <c r="C4" s="12"/>
      <c r="D4" s="12"/>
      <c r="E4" s="11"/>
      <c r="F4" s="11"/>
      <c r="G4" s="13">
        <v>2020</v>
      </c>
      <c r="H4" s="13">
        <v>2021</v>
      </c>
      <c r="I4" s="13">
        <v>2022</v>
      </c>
      <c r="J4" s="13">
        <v>2023</v>
      </c>
      <c r="K4" s="13">
        <v>2024</v>
      </c>
      <c r="L4" s="13">
        <v>2025</v>
      </c>
      <c r="M4" s="13">
        <v>2026</v>
      </c>
      <c r="N4" s="13">
        <v>2027</v>
      </c>
      <c r="O4" s="13">
        <v>2028</v>
      </c>
      <c r="P4" s="13">
        <v>2029</v>
      </c>
      <c r="Q4" s="13">
        <v>2030</v>
      </c>
      <c r="R4" s="13">
        <v>2031</v>
      </c>
      <c r="S4" s="13">
        <v>2032</v>
      </c>
      <c r="T4" s="13">
        <v>2033</v>
      </c>
      <c r="U4" s="13">
        <v>2034</v>
      </c>
      <c r="V4" s="13">
        <v>2035</v>
      </c>
      <c r="W4" s="13">
        <v>2036</v>
      </c>
      <c r="X4" s="13">
        <v>2037</v>
      </c>
    </row>
    <row r="5" spans="2:24" x14ac:dyDescent="0.3">
      <c r="B5" s="11"/>
      <c r="C5" s="12"/>
      <c r="D5" s="1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2:24" x14ac:dyDescent="0.3">
      <c r="B6" s="14" t="s">
        <v>205</v>
      </c>
      <c r="C6" s="15" t="s">
        <v>9</v>
      </c>
      <c r="D6" s="15" t="s">
        <v>10</v>
      </c>
      <c r="E6" s="133"/>
      <c r="F6" s="13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8" spans="2:24" x14ac:dyDescent="0.3">
      <c r="B8" t="s">
        <v>206</v>
      </c>
      <c r="C8" s="6" t="s">
        <v>55</v>
      </c>
      <c r="L8">
        <f>+Supuestos!L19</f>
        <v>13637.029854974791</v>
      </c>
      <c r="M8">
        <f>+Supuestos!M19</f>
        <v>11737.677177184823</v>
      </c>
      <c r="N8">
        <f>+Supuestos!N19</f>
        <v>13043.461593105216</v>
      </c>
      <c r="O8">
        <f>+Supuestos!O19</f>
        <v>13949.742270158935</v>
      </c>
      <c r="P8">
        <f>+Supuestos!P19</f>
        <v>15028.44837015606</v>
      </c>
      <c r="Q8">
        <f>+Supuestos!Q19</f>
        <v>17152.332344887218</v>
      </c>
      <c r="R8">
        <f>+Supuestos!R19</f>
        <v>17704.426150699062</v>
      </c>
      <c r="S8">
        <f>+Supuestos!S19</f>
        <v>31470.434462368823</v>
      </c>
      <c r="T8">
        <f>+Supuestos!T19</f>
        <v>32116.883567120291</v>
      </c>
      <c r="U8">
        <f>+Supuestos!U19</f>
        <v>32644.880139349756</v>
      </c>
      <c r="V8">
        <f>+Supuestos!V19</f>
        <v>33195.463499399179</v>
      </c>
      <c r="W8">
        <f>+Supuestos!W19</f>
        <v>33758.103306026365</v>
      </c>
      <c r="X8">
        <f>+Supuestos!X19</f>
        <v>34288.491400348466</v>
      </c>
    </row>
    <row r="10" spans="2:24" x14ac:dyDescent="0.3">
      <c r="B10" s="144" t="s">
        <v>207</v>
      </c>
      <c r="C10" s="145" t="s">
        <v>55</v>
      </c>
      <c r="D10" s="144"/>
      <c r="G10" s="144"/>
      <c r="H10" s="144"/>
      <c r="I10" s="144"/>
      <c r="J10" s="144"/>
      <c r="K10" s="144"/>
      <c r="L10" s="144">
        <f>+Supuestos!L24</f>
        <v>6190.0969272719758</v>
      </c>
      <c r="M10" s="144">
        <f>+Supuestos!M24</f>
        <v>5327.9460557385773</v>
      </c>
      <c r="N10" s="144">
        <f>+Supuestos!N24</f>
        <v>5920.6654518701189</v>
      </c>
      <c r="O10" s="144">
        <f>+Supuestos!O24</f>
        <v>6332.0428041188325</v>
      </c>
      <c r="P10" s="144">
        <f>+Supuestos!P24</f>
        <v>6821.6872051381552</v>
      </c>
      <c r="Q10" s="144">
        <f>+Supuestos!Q24</f>
        <v>7785.7569333472993</v>
      </c>
      <c r="R10" s="144">
        <f>+Supuestos!R24</f>
        <v>8036.362395626541</v>
      </c>
      <c r="S10" s="144">
        <f>+Supuestos!S24</f>
        <v>14285.005000143665</v>
      </c>
      <c r="T10" s="144">
        <f>+Supuestos!T24</f>
        <v>14578.440055981722</v>
      </c>
      <c r="U10" s="144">
        <f>+Supuestos!U24</f>
        <v>14818.107343809465</v>
      </c>
      <c r="V10" s="144">
        <f>+Supuestos!V24</f>
        <v>15068.027187169322</v>
      </c>
      <c r="W10" s="144">
        <f>+Supuestos!W24</f>
        <v>15323.419671838064</v>
      </c>
      <c r="X10" s="144">
        <f>+Supuestos!X24</f>
        <v>15564.17251522406</v>
      </c>
    </row>
    <row r="11" spans="2:24" x14ac:dyDescent="0.3">
      <c r="B11" s="8" t="s">
        <v>208</v>
      </c>
      <c r="C11" s="6" t="s">
        <v>55</v>
      </c>
      <c r="L11">
        <f t="shared" ref="L11:X11" si="0">+L8-L10</f>
        <v>7446.9329277028155</v>
      </c>
      <c r="M11">
        <f t="shared" si="0"/>
        <v>6409.7311214462461</v>
      </c>
      <c r="N11">
        <f t="shared" si="0"/>
        <v>7122.7961412350969</v>
      </c>
      <c r="O11">
        <f t="shared" si="0"/>
        <v>7617.6994660401024</v>
      </c>
      <c r="P11">
        <f t="shared" si="0"/>
        <v>8206.761165017906</v>
      </c>
      <c r="Q11">
        <f t="shared" si="0"/>
        <v>9366.5754115399177</v>
      </c>
      <c r="R11">
        <f t="shared" si="0"/>
        <v>9668.0637550725223</v>
      </c>
      <c r="S11">
        <f t="shared" si="0"/>
        <v>17185.429462225158</v>
      </c>
      <c r="T11">
        <f t="shared" si="0"/>
        <v>17538.443511138568</v>
      </c>
      <c r="U11">
        <f t="shared" si="0"/>
        <v>17826.772795540292</v>
      </c>
      <c r="V11">
        <f t="shared" si="0"/>
        <v>18127.436312229856</v>
      </c>
      <c r="W11">
        <f t="shared" si="0"/>
        <v>18434.683634188303</v>
      </c>
      <c r="X11">
        <f t="shared" si="0"/>
        <v>18724.318885124405</v>
      </c>
    </row>
    <row r="12" spans="2:24" x14ac:dyDescent="0.3">
      <c r="B12" t="s">
        <v>209</v>
      </c>
      <c r="C12" s="139" t="s">
        <v>12</v>
      </c>
      <c r="G12" s="18"/>
      <c r="H12" s="18"/>
      <c r="I12" s="18"/>
      <c r="J12" s="18"/>
      <c r="K12" s="18"/>
      <c r="L12" s="18">
        <f t="shared" ref="L12:X12" si="1">+L11/L8</f>
        <v>0.54608173531175286</v>
      </c>
      <c r="M12" s="18">
        <f t="shared" si="1"/>
        <v>0.54608173531175297</v>
      </c>
      <c r="N12" s="18">
        <f t="shared" si="1"/>
        <v>0.54608173531175286</v>
      </c>
      <c r="O12" s="18">
        <f t="shared" si="1"/>
        <v>0.54608173531175286</v>
      </c>
      <c r="P12" s="18">
        <f t="shared" si="1"/>
        <v>0.54608173531175286</v>
      </c>
      <c r="Q12" s="18">
        <f t="shared" si="1"/>
        <v>0.54608173531175275</v>
      </c>
      <c r="R12" s="18">
        <f t="shared" si="1"/>
        <v>0.54608173531175297</v>
      </c>
      <c r="S12" s="18">
        <f t="shared" si="1"/>
        <v>0.54608173531175286</v>
      </c>
      <c r="T12" s="18">
        <f t="shared" si="1"/>
        <v>0.54608173531175286</v>
      </c>
      <c r="U12" s="18">
        <f t="shared" si="1"/>
        <v>0.54608173531175286</v>
      </c>
      <c r="V12" s="18">
        <f t="shared" si="1"/>
        <v>0.54608173531175286</v>
      </c>
      <c r="W12" s="18">
        <f t="shared" si="1"/>
        <v>0.54608173531175297</v>
      </c>
      <c r="X12" s="18">
        <f t="shared" si="1"/>
        <v>0.54608173531175286</v>
      </c>
    </row>
    <row r="14" spans="2:24" x14ac:dyDescent="0.3">
      <c r="B14" s="8" t="s">
        <v>210</v>
      </c>
      <c r="C14" s="6" t="s">
        <v>55</v>
      </c>
      <c r="L14">
        <f>+L11-Supuestos!L49</f>
        <v>7273.7991941034616</v>
      </c>
      <c r="M14">
        <f>+M11-Supuestos!M49</f>
        <v>6260.7112912426337</v>
      </c>
      <c r="N14">
        <f>+N11-Supuestos!N49</f>
        <v>6957.1982633474663</v>
      </c>
      <c r="O14">
        <f>+O11-Supuestos!O49</f>
        <v>7440.5955814211002</v>
      </c>
      <c r="P14">
        <f>+P11-Supuestos!P49</f>
        <v>8015.9621857532929</v>
      </c>
      <c r="Q14">
        <f>+Q11-Supuestos!Q49</f>
        <v>9148.8119124210862</v>
      </c>
      <c r="R14">
        <f>+R11-Supuestos!R49</f>
        <v>9443.2909538612403</v>
      </c>
      <c r="S14">
        <f>+S11-Supuestos!S49</f>
        <v>16785.885435820019</v>
      </c>
      <c r="T14">
        <f>+T11-Supuestos!T49</f>
        <v>17130.692261586028</v>
      </c>
      <c r="U14">
        <f>+U11-Supuestos!U49</f>
        <v>17412.318178843299</v>
      </c>
      <c r="V14">
        <f>+V11-Supuestos!V49</f>
        <v>17705.991569838574</v>
      </c>
      <c r="W14">
        <f>+W11-Supuestos!W49</f>
        <v>18006.095699222911</v>
      </c>
      <c r="X14">
        <f>+X11-Supuestos!X49</f>
        <v>18288.997220600362</v>
      </c>
    </row>
    <row r="15" spans="2:24" x14ac:dyDescent="0.3">
      <c r="B15" t="s">
        <v>211</v>
      </c>
      <c r="C15" s="139" t="s">
        <v>12</v>
      </c>
      <c r="L15">
        <f t="shared" ref="L15:W15" si="2">+L14/L8</f>
        <v>0.53338588178348656</v>
      </c>
      <c r="M15">
        <f t="shared" si="2"/>
        <v>0.53338588178348667</v>
      </c>
      <c r="N15">
        <f t="shared" si="2"/>
        <v>0.53338588178348656</v>
      </c>
      <c r="O15">
        <f t="shared" si="2"/>
        <v>0.53338588178348667</v>
      </c>
      <c r="P15">
        <f t="shared" si="2"/>
        <v>0.53338588178348667</v>
      </c>
      <c r="Q15">
        <f t="shared" si="2"/>
        <v>0.53338588178348656</v>
      </c>
      <c r="R15">
        <f t="shared" si="2"/>
        <v>0.53338588178348667</v>
      </c>
      <c r="S15">
        <f t="shared" si="2"/>
        <v>0.53338588178348656</v>
      </c>
      <c r="T15">
        <f t="shared" si="2"/>
        <v>0.53338588178348667</v>
      </c>
      <c r="U15">
        <f t="shared" si="2"/>
        <v>0.53338588178348667</v>
      </c>
      <c r="V15">
        <f t="shared" si="2"/>
        <v>0.53338588178348656</v>
      </c>
      <c r="W15">
        <f t="shared" si="2"/>
        <v>0.53338588178348667</v>
      </c>
      <c r="X15">
        <f>+X14/X8</f>
        <v>0.53338588178348656</v>
      </c>
    </row>
    <row r="16" spans="2:24" x14ac:dyDescent="0.3">
      <c r="B16" s="144"/>
      <c r="C16" s="145"/>
      <c r="D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</row>
    <row r="17" spans="2:24" x14ac:dyDescent="0.3">
      <c r="B17" s="8" t="s">
        <v>212</v>
      </c>
      <c r="C17" s="6" t="s">
        <v>55</v>
      </c>
      <c r="L17">
        <f t="shared" ref="L17:X17" si="3">+L14</f>
        <v>7273.7991941034616</v>
      </c>
      <c r="M17">
        <f t="shared" si="3"/>
        <v>6260.7112912426337</v>
      </c>
      <c r="N17">
        <f t="shared" si="3"/>
        <v>6957.1982633474663</v>
      </c>
      <c r="O17">
        <f t="shared" si="3"/>
        <v>7440.5955814211002</v>
      </c>
      <c r="P17">
        <f t="shared" si="3"/>
        <v>8015.9621857532929</v>
      </c>
      <c r="Q17">
        <f t="shared" si="3"/>
        <v>9148.8119124210862</v>
      </c>
      <c r="R17">
        <f t="shared" si="3"/>
        <v>9443.2909538612403</v>
      </c>
      <c r="S17">
        <f t="shared" si="3"/>
        <v>16785.885435820019</v>
      </c>
      <c r="T17">
        <f t="shared" si="3"/>
        <v>17130.692261586028</v>
      </c>
      <c r="U17">
        <f t="shared" si="3"/>
        <v>17412.318178843299</v>
      </c>
      <c r="V17">
        <f t="shared" si="3"/>
        <v>17705.991569838574</v>
      </c>
      <c r="W17">
        <f t="shared" si="3"/>
        <v>18006.095699222911</v>
      </c>
      <c r="X17">
        <f t="shared" si="3"/>
        <v>18288.997220600362</v>
      </c>
    </row>
    <row r="18" spans="2:24" x14ac:dyDescent="0.3">
      <c r="B18" t="s">
        <v>213</v>
      </c>
      <c r="C18" s="139" t="s">
        <v>12</v>
      </c>
      <c r="L18">
        <f t="shared" ref="L18:X18" si="4">+L17/L8</f>
        <v>0.53338588178348656</v>
      </c>
      <c r="M18">
        <f t="shared" si="4"/>
        <v>0.53338588178348667</v>
      </c>
      <c r="N18">
        <f t="shared" si="4"/>
        <v>0.53338588178348656</v>
      </c>
      <c r="O18">
        <f t="shared" si="4"/>
        <v>0.53338588178348667</v>
      </c>
      <c r="P18">
        <f t="shared" si="4"/>
        <v>0.53338588178348667</v>
      </c>
      <c r="Q18">
        <f t="shared" si="4"/>
        <v>0.53338588178348656</v>
      </c>
      <c r="R18">
        <f t="shared" si="4"/>
        <v>0.53338588178348667</v>
      </c>
      <c r="S18">
        <f t="shared" si="4"/>
        <v>0.53338588178348656</v>
      </c>
      <c r="T18">
        <f t="shared" si="4"/>
        <v>0.53338588178348667</v>
      </c>
      <c r="U18">
        <f t="shared" si="4"/>
        <v>0.53338588178348667</v>
      </c>
      <c r="V18">
        <f t="shared" si="4"/>
        <v>0.53338588178348656</v>
      </c>
      <c r="W18">
        <f t="shared" si="4"/>
        <v>0.53338588178348667</v>
      </c>
      <c r="X18">
        <f t="shared" si="4"/>
        <v>0.53338588178348656</v>
      </c>
    </row>
    <row r="20" spans="2:24" x14ac:dyDescent="0.3">
      <c r="B20" s="144" t="s">
        <v>214</v>
      </c>
      <c r="C20" s="151" t="s">
        <v>12</v>
      </c>
      <c r="D20" s="162">
        <v>0.3659</v>
      </c>
      <c r="G20" s="144"/>
      <c r="H20" s="144"/>
      <c r="I20" s="144"/>
      <c r="J20" s="144"/>
      <c r="K20" s="144"/>
      <c r="L20" s="144">
        <f t="shared" ref="L20:X20" si="5">+$D$20*L17</f>
        <v>2661.4831251224564</v>
      </c>
      <c r="M20" s="144">
        <f t="shared" si="5"/>
        <v>2290.7942614656795</v>
      </c>
      <c r="N20" s="144">
        <f t="shared" si="5"/>
        <v>2545.6388445588377</v>
      </c>
      <c r="O20" s="144">
        <f t="shared" si="5"/>
        <v>2722.5139232419806</v>
      </c>
      <c r="P20" s="144">
        <f t="shared" si="5"/>
        <v>2933.0405637671297</v>
      </c>
      <c r="Q20" s="144">
        <f t="shared" si="5"/>
        <v>3347.5502787548753</v>
      </c>
      <c r="R20" s="144">
        <f t="shared" si="5"/>
        <v>3455.3001600178277</v>
      </c>
      <c r="S20" s="144">
        <f t="shared" si="5"/>
        <v>6141.9554809665451</v>
      </c>
      <c r="T20" s="144">
        <f t="shared" si="5"/>
        <v>6268.1202985143273</v>
      </c>
      <c r="U20" s="144">
        <f t="shared" si="5"/>
        <v>6371.1672216387633</v>
      </c>
      <c r="V20" s="144">
        <f t="shared" si="5"/>
        <v>6478.6223154039344</v>
      </c>
      <c r="W20" s="144">
        <f t="shared" si="5"/>
        <v>6588.4304163456636</v>
      </c>
      <c r="X20" s="144">
        <f t="shared" si="5"/>
        <v>6691.9440830176727</v>
      </c>
    </row>
    <row r="21" spans="2:24" x14ac:dyDescent="0.3">
      <c r="B21" s="8" t="s">
        <v>215</v>
      </c>
      <c r="C21" s="6" t="s">
        <v>55</v>
      </c>
      <c r="L21">
        <f t="shared" ref="L21:X21" si="6">+L17-L20</f>
        <v>4612.3160689810047</v>
      </c>
      <c r="M21">
        <f t="shared" si="6"/>
        <v>3969.9170297769542</v>
      </c>
      <c r="N21">
        <f t="shared" si="6"/>
        <v>4411.559418788629</v>
      </c>
      <c r="O21">
        <f t="shared" si="6"/>
        <v>4718.0816581791196</v>
      </c>
      <c r="P21">
        <f t="shared" si="6"/>
        <v>5082.9216219861628</v>
      </c>
      <c r="Q21">
        <f t="shared" si="6"/>
        <v>5801.2616336662104</v>
      </c>
      <c r="R21">
        <f t="shared" si="6"/>
        <v>5987.9907938434126</v>
      </c>
      <c r="S21">
        <f t="shared" si="6"/>
        <v>10643.929954853473</v>
      </c>
      <c r="T21">
        <f t="shared" si="6"/>
        <v>10862.571963071699</v>
      </c>
      <c r="U21">
        <f t="shared" si="6"/>
        <v>11041.150957204536</v>
      </c>
      <c r="V21">
        <f t="shared" si="6"/>
        <v>11227.36925443464</v>
      </c>
      <c r="W21">
        <f t="shared" si="6"/>
        <v>11417.665282877248</v>
      </c>
      <c r="X21">
        <f t="shared" si="6"/>
        <v>11597.05313758269</v>
      </c>
    </row>
    <row r="24" spans="2:24" x14ac:dyDescent="0.3">
      <c r="B24" t="s">
        <v>216</v>
      </c>
      <c r="C24" s="6" t="s">
        <v>55</v>
      </c>
      <c r="L24">
        <f>+Supuestos!L74</f>
        <v>762.78818398189094</v>
      </c>
      <c r="M24">
        <f>+Supuestos!M74</f>
        <v>656.54776394614339</v>
      </c>
      <c r="N24">
        <f>+Supuestos!N74</f>
        <v>729.58690325171699</v>
      </c>
      <c r="O24">
        <f>+Supuestos!O74</f>
        <v>780.2797739999246</v>
      </c>
      <c r="P24">
        <f>+Supuestos!P74</f>
        <v>840.61727240078267</v>
      </c>
      <c r="Q24">
        <f>+Supuestos!Q74</f>
        <v>959.41686566283136</v>
      </c>
      <c r="R24">
        <f>+Supuestos!R74</f>
        <v>990.29826989831736</v>
      </c>
      <c r="S24">
        <f>+Supuestos!S74</f>
        <v>1760.30087254772</v>
      </c>
      <c r="T24">
        <f>+Supuestos!T74</f>
        <v>1796.4600467883047</v>
      </c>
      <c r="U24">
        <f>+Supuestos!U74</f>
        <v>1825.9935706393694</v>
      </c>
      <c r="V24">
        <f>+Supuestos!V74</f>
        <v>1856.7904879893404</v>
      </c>
      <c r="W24">
        <f>+Supuestos!W74</f>
        <v>1888.2617834911619</v>
      </c>
      <c r="X24">
        <f>+Supuestos!X74</f>
        <v>1917.9290772916504</v>
      </c>
    </row>
    <row r="25" spans="2:24" x14ac:dyDescent="0.3">
      <c r="B25" t="s">
        <v>217</v>
      </c>
      <c r="C25" s="6" t="s">
        <v>55</v>
      </c>
      <c r="L25">
        <f>+WK!M30</f>
        <v>548.94415786945342</v>
      </c>
      <c r="M25">
        <f>+WK!N30</f>
        <v>-310.09704592356661</v>
      </c>
      <c r="N25">
        <f>+WK!O30</f>
        <v>213.18836397519249</v>
      </c>
      <c r="O25">
        <f>+WK!P30</f>
        <v>147.9635478014402</v>
      </c>
      <c r="P25">
        <f>+WK!Q30</f>
        <v>176.11451466615426</v>
      </c>
      <c r="Q25">
        <f>+WK!R30</f>
        <v>346.75505720974115</v>
      </c>
      <c r="R25">
        <f>+WK!S30</f>
        <v>90.137371672416521</v>
      </c>
      <c r="S25">
        <f>+WK!T30</f>
        <v>2247.5017733805598</v>
      </c>
      <c r="T25">
        <f>+WK!U30</f>
        <v>105.54225135092656</v>
      </c>
      <c r="U25">
        <f>+WK!V30</f>
        <v>86.203146588151867</v>
      </c>
      <c r="V25">
        <f>+WK!W30</f>
        <v>89.890769356567034</v>
      </c>
      <c r="W25">
        <f>+WK!X30</f>
        <v>91.859160225636515</v>
      </c>
      <c r="X25">
        <f>+WK!Y30</f>
        <v>86.593597474318813</v>
      </c>
    </row>
    <row r="26" spans="2:24" x14ac:dyDescent="0.3">
      <c r="B26" s="144" t="s">
        <v>72</v>
      </c>
      <c r="C26" s="145" t="s">
        <v>55</v>
      </c>
      <c r="D26" s="144"/>
      <c r="G26" s="144"/>
      <c r="H26" s="144"/>
      <c r="I26" s="144"/>
      <c r="J26" s="144"/>
      <c r="K26" s="144"/>
      <c r="L26" s="144">
        <f>+-'OPEX-CAPEX'!N42</f>
        <v>-2382.8441374836461</v>
      </c>
      <c r="M26" s="144">
        <f>+-'OPEX-CAPEX'!O42</f>
        <v>-1684.6347072416438</v>
      </c>
      <c r="N26" s="144">
        <f>+-'OPEX-CAPEX'!P42</f>
        <v>-2006.2406867812306</v>
      </c>
      <c r="O26" s="144">
        <f>+-'OPEX-CAPEX'!Q42</f>
        <v>-3931.8899870106989</v>
      </c>
      <c r="P26" s="144">
        <f>+-'OPEX-CAPEX'!R42</f>
        <v>-1044.1289604192691</v>
      </c>
      <c r="Q26" s="144">
        <f>+-'OPEX-CAPEX'!S42</f>
        <v>-25417.25856719301</v>
      </c>
      <c r="R26" s="144">
        <f>+-'OPEX-CAPEX'!T42</f>
        <v>-1359.0544463962162</v>
      </c>
      <c r="S26" s="144">
        <f>+-'OPEX-CAPEX'!U42</f>
        <v>-982.35282483901381</v>
      </c>
      <c r="T26" s="144">
        <f>+-'OPEX-CAPEX'!V42</f>
        <v>-1022.9798743353695</v>
      </c>
      <c r="U26" s="144">
        <f>+-'OPEX-CAPEX'!W42</f>
        <v>-1044.9834105428758</v>
      </c>
      <c r="V26" s="144">
        <f>+-'OPEX-CAPEX'!X42</f>
        <v>-985.82661320054945</v>
      </c>
      <c r="W26" s="144">
        <f>+-'OPEX-CAPEX'!Y42</f>
        <v>0</v>
      </c>
      <c r="X26" s="144">
        <f>+-'OPEX-CAPEX'!Z42</f>
        <v>0</v>
      </c>
    </row>
    <row r="27" spans="2:24" x14ac:dyDescent="0.3">
      <c r="B27" s="8" t="s">
        <v>218</v>
      </c>
      <c r="C27" s="6" t="s">
        <v>55</v>
      </c>
      <c r="L27">
        <f t="shared" ref="L27:X27" si="7">+L21+L24+L25+L26</f>
        <v>3541.2042733487028</v>
      </c>
      <c r="M27">
        <f t="shared" si="7"/>
        <v>2631.7330405578869</v>
      </c>
      <c r="N27">
        <f t="shared" si="7"/>
        <v>3348.0939992343074</v>
      </c>
      <c r="O27">
        <f t="shared" si="7"/>
        <v>1714.4349929697864</v>
      </c>
      <c r="P27">
        <f t="shared" si="7"/>
        <v>5055.5244486338315</v>
      </c>
      <c r="Q27">
        <f t="shared" si="7"/>
        <v>-18309.825010654225</v>
      </c>
      <c r="R27">
        <f t="shared" si="7"/>
        <v>5709.37198901793</v>
      </c>
      <c r="S27">
        <f t="shared" si="7"/>
        <v>13669.379775942738</v>
      </c>
      <c r="T27">
        <f t="shared" si="7"/>
        <v>11741.594386875562</v>
      </c>
      <c r="U27">
        <f t="shared" si="7"/>
        <v>11908.364263889182</v>
      </c>
      <c r="V27">
        <f t="shared" si="7"/>
        <v>12188.223898579998</v>
      </c>
      <c r="W27">
        <f t="shared" si="7"/>
        <v>13397.786226594046</v>
      </c>
      <c r="X27">
        <f t="shared" si="7"/>
        <v>13601.575812348659</v>
      </c>
    </row>
    <row r="28" spans="2:24" x14ac:dyDescent="0.3">
      <c r="B28" t="s">
        <v>219</v>
      </c>
      <c r="C28" s="6" t="s">
        <v>55</v>
      </c>
      <c r="X28">
        <f>+X27/(C41-C40)</f>
        <v>223783.09233085244</v>
      </c>
    </row>
    <row r="31" spans="2:24" x14ac:dyDescent="0.3">
      <c r="B31" t="s">
        <v>220</v>
      </c>
      <c r="K31">
        <v>0</v>
      </c>
      <c r="L31">
        <v>1</v>
      </c>
      <c r="M31">
        <v>2</v>
      </c>
      <c r="N31">
        <v>3</v>
      </c>
      <c r="O31">
        <v>4</v>
      </c>
      <c r="P31">
        <v>5</v>
      </c>
      <c r="Q31">
        <v>6</v>
      </c>
      <c r="R31">
        <v>7</v>
      </c>
      <c r="S31">
        <v>8</v>
      </c>
      <c r="T31">
        <v>9</v>
      </c>
      <c r="U31">
        <v>10</v>
      </c>
      <c r="V31">
        <v>11</v>
      </c>
      <c r="W31">
        <v>12</v>
      </c>
      <c r="X31">
        <v>13</v>
      </c>
    </row>
    <row r="32" spans="2:24" x14ac:dyDescent="0.3">
      <c r="B32" t="s">
        <v>221</v>
      </c>
      <c r="C32" s="139" t="s">
        <v>12</v>
      </c>
      <c r="L32">
        <f>1/(1+$C$41)^L31</f>
        <v>0.91677500352202879</v>
      </c>
      <c r="M32">
        <f t="shared" ref="M32:X32" si="8">1/(1+$C$41)^M31</f>
        <v>0.84047640708281579</v>
      </c>
      <c r="N32">
        <f t="shared" si="8"/>
        <v>0.7705277610635306</v>
      </c>
      <c r="O32">
        <f t="shared" si="8"/>
        <v>0.70640059086283913</v>
      </c>
      <c r="P32">
        <f t="shared" si="8"/>
        <v>0.64761040417624249</v>
      </c>
      <c r="Q32">
        <f t="shared" si="8"/>
        <v>0.59371303056957725</v>
      </c>
      <c r="R32">
        <f t="shared" si="8"/>
        <v>0.5443012656914985</v>
      </c>
      <c r="S32">
        <f t="shared" si="8"/>
        <v>0.49900179477136825</v>
      </c>
      <c r="T32">
        <f t="shared" si="8"/>
        <v>0.45747237215901981</v>
      </c>
      <c r="U32">
        <f t="shared" si="8"/>
        <v>0.41939923559731623</v>
      </c>
      <c r="V32">
        <f t="shared" si="8"/>
        <v>0.38449473569186576</v>
      </c>
      <c r="W32">
        <f t="shared" si="8"/>
        <v>0.35249516266811176</v>
      </c>
      <c r="X32">
        <f t="shared" si="8"/>
        <v>0.32315875399655625</v>
      </c>
    </row>
    <row r="34" spans="2:24" x14ac:dyDescent="0.3">
      <c r="B34" s="146" t="s">
        <v>222</v>
      </c>
      <c r="C34" s="145" t="s">
        <v>55</v>
      </c>
      <c r="D34" s="144"/>
      <c r="G34" s="144"/>
      <c r="H34" s="144"/>
      <c r="I34" s="144"/>
      <c r="J34" s="144"/>
      <c r="K34" s="144"/>
      <c r="L34" s="144">
        <f>+L32*L27</f>
        <v>3246.4875601714803</v>
      </c>
      <c r="M34" s="144">
        <f t="shared" ref="M34:X34" si="9">+M32*M27</f>
        <v>2211.909530329227</v>
      </c>
      <c r="N34" s="144">
        <f t="shared" si="9"/>
        <v>2579.7993730602529</v>
      </c>
      <c r="O34" s="144">
        <f t="shared" si="9"/>
        <v>1211.0778920297846</v>
      </c>
      <c r="P34" s="144">
        <f t="shared" si="9"/>
        <v>3274.0102315026311</v>
      </c>
      <c r="Q34" s="144">
        <f t="shared" si="9"/>
        <v>-10870.781696274162</v>
      </c>
      <c r="R34" s="144">
        <f t="shared" si="9"/>
        <v>3107.6183999260475</v>
      </c>
      <c r="S34" s="144">
        <f t="shared" si="9"/>
        <v>6821.0450416068697</v>
      </c>
      <c r="T34" s="144">
        <f t="shared" si="9"/>
        <v>5371.4550370929956</v>
      </c>
      <c r="U34" s="144">
        <f t="shared" si="9"/>
        <v>4994.3588694895197</v>
      </c>
      <c r="V34" s="144">
        <f t="shared" si="9"/>
        <v>4686.3079264377975</v>
      </c>
      <c r="W34" s="144">
        <f t="shared" si="9"/>
        <v>4722.6548353358558</v>
      </c>
      <c r="X34" s="144">
        <f t="shared" si="9"/>
        <v>4395.4682919082898</v>
      </c>
    </row>
    <row r="35" spans="2:24" x14ac:dyDescent="0.3">
      <c r="B35" s="8" t="s">
        <v>223</v>
      </c>
      <c r="C35" s="6" t="s">
        <v>55</v>
      </c>
      <c r="X35">
        <f>+X28*X32</f>
        <v>72317.465283134574</v>
      </c>
    </row>
    <row r="36" spans="2:24" x14ac:dyDescent="0.3">
      <c r="B36" s="8"/>
    </row>
    <row r="37" spans="2:24" x14ac:dyDescent="0.3">
      <c r="B37" s="14" t="s">
        <v>224</v>
      </c>
      <c r="C37" s="15" t="s">
        <v>225</v>
      </c>
    </row>
    <row r="38" spans="2:24" x14ac:dyDescent="0.3">
      <c r="B38" s="8"/>
    </row>
    <row r="39" spans="2:24" x14ac:dyDescent="0.3">
      <c r="B39" s="17" t="s">
        <v>226</v>
      </c>
      <c r="C39" s="160">
        <v>884596086</v>
      </c>
    </row>
    <row r="40" spans="2:24" x14ac:dyDescent="0.3">
      <c r="B40" t="s">
        <v>227</v>
      </c>
      <c r="C40" s="158">
        <v>0.03</v>
      </c>
    </row>
    <row r="41" spans="2:24" x14ac:dyDescent="0.3">
      <c r="B41" s="144" t="s">
        <v>228</v>
      </c>
      <c r="C41" s="159">
        <f>+WACC!E20</f>
        <v>9.0780176333605175E-2</v>
      </c>
    </row>
    <row r="42" spans="2:24" x14ac:dyDescent="0.3">
      <c r="C42" s="6" t="s">
        <v>229</v>
      </c>
    </row>
    <row r="44" spans="2:24" x14ac:dyDescent="0.3">
      <c r="B44" s="153" t="s">
        <v>6</v>
      </c>
      <c r="C44" s="153" t="s">
        <v>230</v>
      </c>
      <c r="D44" s="153"/>
      <c r="E44" s="153" t="s">
        <v>12</v>
      </c>
    </row>
    <row r="45" spans="2:24" x14ac:dyDescent="0.3">
      <c r="B45" s="154" t="s">
        <v>222</v>
      </c>
      <c r="C45" s="155">
        <f>+SUM(L34:X34)</f>
        <v>35751.411292616591</v>
      </c>
      <c r="D45" s="93"/>
      <c r="E45" s="82">
        <f>+C45/$C$47</f>
        <v>0.33082060650048994</v>
      </c>
    </row>
    <row r="46" spans="2:24" x14ac:dyDescent="0.3">
      <c r="B46" s="154" t="s">
        <v>223</v>
      </c>
      <c r="C46" s="155">
        <f>+X35</f>
        <v>72317.465283134574</v>
      </c>
      <c r="D46" s="93"/>
      <c r="E46" s="82">
        <f>+C46/$C$47</f>
        <v>0.66917939349951006</v>
      </c>
    </row>
    <row r="47" spans="2:24" x14ac:dyDescent="0.3">
      <c r="B47" s="150" t="s">
        <v>231</v>
      </c>
      <c r="C47" s="155">
        <f>+C45+C46</f>
        <v>108068.87657575117</v>
      </c>
      <c r="D47" s="156"/>
      <c r="E47" s="82">
        <f>+C47/$C$47</f>
        <v>1</v>
      </c>
    </row>
    <row r="48" spans="2:24" x14ac:dyDescent="0.3">
      <c r="B48" s="154" t="s">
        <v>232</v>
      </c>
      <c r="C48" s="155">
        <f>+'Fin. Statement'!K43+'Fin. Statement'!K44</f>
        <v>3503.4</v>
      </c>
      <c r="D48" s="93"/>
      <c r="E48" s="82"/>
    </row>
    <row r="49" spans="2:6" x14ac:dyDescent="0.3">
      <c r="B49" s="154" t="s">
        <v>233</v>
      </c>
      <c r="C49" s="155">
        <f>(583.1+7384.6)</f>
        <v>7967.7000000000007</v>
      </c>
      <c r="D49" s="93"/>
      <c r="E49" s="82"/>
    </row>
    <row r="50" spans="2:6" x14ac:dyDescent="0.3">
      <c r="B50" s="150" t="s">
        <v>234</v>
      </c>
      <c r="C50" s="155">
        <f>+C47+C48-C49</f>
        <v>103604.57657575117</v>
      </c>
      <c r="D50" s="156"/>
      <c r="E50" s="82">
        <v>1</v>
      </c>
    </row>
    <row r="51" spans="2:6" x14ac:dyDescent="0.3">
      <c r="B51" s="157" t="s">
        <v>235</v>
      </c>
      <c r="C51" s="166">
        <f>+C50*1000000/C39</f>
        <v>117.12077208507021</v>
      </c>
      <c r="D51" s="93"/>
      <c r="E51" s="82">
        <f>+C51/$C$52</f>
        <v>1.1714420092525526</v>
      </c>
    </row>
    <row r="52" spans="2:6" x14ac:dyDescent="0.3">
      <c r="B52" s="154" t="s">
        <v>236</v>
      </c>
      <c r="C52" s="166">
        <v>99.98</v>
      </c>
      <c r="D52" s="93"/>
      <c r="E52" s="82">
        <f>+C52/$C$52</f>
        <v>1</v>
      </c>
    </row>
    <row r="53" spans="2:6" x14ac:dyDescent="0.3">
      <c r="B53" s="152" t="s">
        <v>237</v>
      </c>
      <c r="C53" s="144"/>
      <c r="D53" s="152"/>
      <c r="E53" s="172">
        <f>+E51-E52</f>
        <v>0.1714420092525526</v>
      </c>
      <c r="F53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C30E-EDE8-4777-9AB1-3D74C734A31C}">
  <dimension ref="B2:Q33"/>
  <sheetViews>
    <sheetView showGridLines="0" topLeftCell="A8" workbookViewId="0">
      <selection activeCell="N7" sqref="N7"/>
    </sheetView>
  </sheetViews>
  <sheetFormatPr baseColWidth="10" defaultColWidth="8.88671875" defaultRowHeight="14.4" x14ac:dyDescent="0.3"/>
  <cols>
    <col min="2" max="2" width="13" customWidth="1"/>
    <col min="3" max="12" width="12" customWidth="1"/>
    <col min="13" max="13" width="9.6640625" bestFit="1" customWidth="1"/>
  </cols>
  <sheetData>
    <row r="2" spans="2:7" ht="15.6" x14ac:dyDescent="0.3">
      <c r="B2" s="128" t="s">
        <v>6</v>
      </c>
      <c r="C2" s="128"/>
      <c r="D2" s="128"/>
    </row>
    <row r="3" spans="2:7" ht="15.6" x14ac:dyDescent="0.3">
      <c r="B3" s="129" t="s">
        <v>2</v>
      </c>
      <c r="C3" s="129"/>
      <c r="D3" s="129"/>
    </row>
    <row r="4" spans="2:7" ht="15.6" x14ac:dyDescent="0.3">
      <c r="B4" s="127" t="s">
        <v>238</v>
      </c>
      <c r="C4" s="127"/>
      <c r="D4" s="127"/>
    </row>
    <row r="6" spans="2:7" x14ac:dyDescent="0.3">
      <c r="B6" s="21" t="s">
        <v>239</v>
      </c>
      <c r="C6" s="21"/>
      <c r="D6" s="21"/>
      <c r="E6" s="21" t="s">
        <v>240</v>
      </c>
      <c r="F6" s="21" t="s">
        <v>241</v>
      </c>
      <c r="G6" s="21" t="s">
        <v>241</v>
      </c>
    </row>
    <row r="7" spans="2:7" x14ac:dyDescent="0.3">
      <c r="B7" s="20" t="s">
        <v>242</v>
      </c>
      <c r="C7" s="20"/>
      <c r="D7" s="20"/>
      <c r="E7" s="24">
        <v>4.4900000000000002E-2</v>
      </c>
      <c r="F7" s="136" t="s">
        <v>243</v>
      </c>
      <c r="G7" s="20"/>
    </row>
    <row r="8" spans="2:7" x14ac:dyDescent="0.3">
      <c r="B8" s="20" t="s">
        <v>244</v>
      </c>
      <c r="C8" s="20"/>
      <c r="D8" s="20"/>
      <c r="E8" s="24">
        <v>4.5999999999999999E-2</v>
      </c>
      <c r="F8" s="20" t="s">
        <v>245</v>
      </c>
      <c r="G8" s="20"/>
    </row>
    <row r="9" spans="2:7" x14ac:dyDescent="0.3">
      <c r="B9" s="20" t="s">
        <v>246</v>
      </c>
      <c r="C9" s="20"/>
      <c r="D9" s="20"/>
      <c r="E9" s="165">
        <f>+E10*(1+(1-E18)*E11)</f>
        <v>1.089577071319211</v>
      </c>
      <c r="F9" s="20" t="s">
        <v>247</v>
      </c>
      <c r="G9" s="20"/>
    </row>
    <row r="10" spans="2:7" x14ac:dyDescent="0.3">
      <c r="B10" s="20" t="s">
        <v>248</v>
      </c>
      <c r="C10" s="20"/>
      <c r="D10" s="20"/>
      <c r="E10" s="165">
        <v>1.02</v>
      </c>
      <c r="F10" s="20" t="s">
        <v>245</v>
      </c>
      <c r="G10" s="20"/>
    </row>
    <row r="11" spans="2:7" x14ac:dyDescent="0.3">
      <c r="B11" s="20" t="s">
        <v>249</v>
      </c>
      <c r="C11" s="20"/>
      <c r="D11" s="20"/>
      <c r="E11" s="24">
        <f>+E12/E13</f>
        <v>0.10757422333832882</v>
      </c>
      <c r="F11" s="20" t="s">
        <v>30</v>
      </c>
      <c r="G11" s="20"/>
    </row>
    <row r="12" spans="2:7" x14ac:dyDescent="0.3">
      <c r="B12" s="20" t="s">
        <v>250</v>
      </c>
      <c r="C12" s="20"/>
      <c r="D12" s="20"/>
      <c r="E12" s="164">
        <f>583.1+7384.6</f>
        <v>7967.7000000000007</v>
      </c>
      <c r="F12" s="20"/>
      <c r="G12" s="20"/>
    </row>
    <row r="13" spans="2:7" x14ac:dyDescent="0.3">
      <c r="B13" s="20" t="s">
        <v>251</v>
      </c>
      <c r="C13" s="20"/>
      <c r="D13" s="20"/>
      <c r="E13" s="164">
        <v>74067</v>
      </c>
      <c r="F13" s="20"/>
      <c r="G13" s="20"/>
    </row>
    <row r="14" spans="2:7" x14ac:dyDescent="0.3">
      <c r="B14" s="20"/>
      <c r="C14" s="20"/>
      <c r="D14" s="20"/>
      <c r="E14" s="24"/>
      <c r="F14" s="20"/>
      <c r="G14" s="20"/>
    </row>
    <row r="15" spans="2:7" x14ac:dyDescent="0.3">
      <c r="B15" s="20" t="s">
        <v>252</v>
      </c>
      <c r="C15" s="20"/>
      <c r="D15" s="20"/>
      <c r="E15" s="23"/>
      <c r="F15" s="20"/>
      <c r="G15" s="20"/>
    </row>
    <row r="16" spans="2:7" x14ac:dyDescent="0.3">
      <c r="B16" s="135" t="s">
        <v>253</v>
      </c>
      <c r="C16" s="135"/>
      <c r="D16" s="135"/>
      <c r="E16" s="25">
        <f>+E7+E9*E8</f>
        <v>9.502054528068371E-2</v>
      </c>
      <c r="F16" s="135"/>
      <c r="G16" s="20"/>
    </row>
    <row r="17" spans="2:17" x14ac:dyDescent="0.3">
      <c r="B17" s="20" t="s">
        <v>254</v>
      </c>
      <c r="C17" s="20"/>
      <c r="D17" s="20"/>
      <c r="E17" s="24">
        <v>8.1000000000000003E-2</v>
      </c>
      <c r="F17" s="20" t="s">
        <v>255</v>
      </c>
      <c r="G17" s="20"/>
    </row>
    <row r="18" spans="2:17" x14ac:dyDescent="0.3">
      <c r="B18" s="20" t="s">
        <v>256</v>
      </c>
      <c r="C18" s="20"/>
      <c r="D18" s="20"/>
      <c r="E18" s="163">
        <v>0.3659</v>
      </c>
      <c r="F18" s="20"/>
      <c r="G18" s="20"/>
    </row>
    <row r="19" spans="2:17" x14ac:dyDescent="0.3">
      <c r="B19" s="135" t="s">
        <v>257</v>
      </c>
      <c r="C19" s="135"/>
      <c r="D19" s="135"/>
      <c r="E19" s="25">
        <f>+E17*(1-E18)</f>
        <v>5.1362100000000001E-2</v>
      </c>
      <c r="F19" s="135"/>
      <c r="G19" s="20"/>
    </row>
    <row r="20" spans="2:17" x14ac:dyDescent="0.3">
      <c r="B20" s="21" t="s">
        <v>228</v>
      </c>
      <c r="C20" s="21"/>
      <c r="D20" s="21"/>
      <c r="E20" s="26">
        <f>+E16*E13/(E13+E12) +E19*E12/(E13+E12)</f>
        <v>9.0780176333605175E-2</v>
      </c>
      <c r="F20" s="21"/>
      <c r="G20" s="20"/>
    </row>
    <row r="21" spans="2:17" x14ac:dyDescent="0.3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2"/>
      <c r="Q21" s="22"/>
    </row>
    <row r="22" spans="2:17" x14ac:dyDescent="0.3">
      <c r="B22" s="21" t="s">
        <v>258</v>
      </c>
      <c r="C22" s="21"/>
      <c r="D22" s="21"/>
      <c r="E22" s="21"/>
      <c r="F22" s="21"/>
      <c r="G22" s="21"/>
      <c r="H22" s="21"/>
      <c r="I22" s="21"/>
      <c r="J22" s="21"/>
      <c r="K22" s="20"/>
      <c r="L22" s="22"/>
      <c r="M22" s="22"/>
    </row>
    <row r="23" spans="2:17" x14ac:dyDescent="0.3">
      <c r="B23" s="20" t="s">
        <v>259</v>
      </c>
      <c r="C23" s="169">
        <v>5.0000000000000001E-3</v>
      </c>
      <c r="D23" s="20"/>
      <c r="E23" t="s">
        <v>296</v>
      </c>
      <c r="F23" s="167">
        <f>DCF!C40</f>
        <v>0.03</v>
      </c>
      <c r="G23" s="20" t="s">
        <v>228</v>
      </c>
      <c r="H23" s="20" t="s">
        <v>295</v>
      </c>
      <c r="I23" s="20">
        <f>+DCF!C51</f>
        <v>117.12077208507021</v>
      </c>
      <c r="J23" s="20"/>
      <c r="K23" s="20"/>
      <c r="L23" s="22"/>
      <c r="M23" s="22"/>
    </row>
    <row r="25" spans="2:17" x14ac:dyDescent="0.3">
      <c r="K25" s="19"/>
    </row>
    <row r="26" spans="2:17" x14ac:dyDescent="0.3">
      <c r="B26" s="66">
        <f>+I23</f>
        <v>117.12077208507021</v>
      </c>
      <c r="C26" s="19">
        <f>+D26-$C$23</f>
        <v>7.5780176333605162E-2</v>
      </c>
      <c r="D26" s="19">
        <f>+E26-$C$23</f>
        <v>8.0780176333605166E-2</v>
      </c>
      <c r="E26" s="19">
        <f>+F26-$C$23</f>
        <v>8.5780176333605171E-2</v>
      </c>
      <c r="F26" s="19">
        <f>+E20</f>
        <v>9.0780176333605175E-2</v>
      </c>
      <c r="G26" s="19">
        <f>+F26+$C$23</f>
        <v>9.578017633360518E-2</v>
      </c>
      <c r="H26" s="19">
        <f>+G26+$C$23</f>
        <v>0.10078017633360518</v>
      </c>
      <c r="I26" s="19">
        <f>+H26+$C$23</f>
        <v>0.10578017633360519</v>
      </c>
    </row>
    <row r="27" spans="2:17" x14ac:dyDescent="0.3">
      <c r="B27" s="168">
        <f t="shared" ref="B27:B28" si="0">+B28-$C$23</f>
        <v>1.4999999999999996E-2</v>
      </c>
      <c r="C27" s="170">
        <f t="dataTable" ref="C27:I33" dt2D="1" dtr="1" r1="E20" r2="F23" ca="1"/>
        <v>170.55995827389123</v>
      </c>
      <c r="D27" s="171">
        <v>232.33512501551692</v>
      </c>
      <c r="E27" s="171">
        <v>278.75209318483718</v>
      </c>
      <c r="F27" s="171">
        <v>278.75209318483718</v>
      </c>
      <c r="G27" s="171">
        <v>232.33512501551692</v>
      </c>
      <c r="H27" s="171">
        <v>170.55995827389123</v>
      </c>
      <c r="I27" s="171">
        <v>117.12077208507021</v>
      </c>
    </row>
    <row r="28" spans="2:17" x14ac:dyDescent="0.3">
      <c r="B28" s="168">
        <f t="shared" si="0"/>
        <v>1.9999999999999997E-2</v>
      </c>
      <c r="C28" s="171">
        <v>170.55995827389123</v>
      </c>
      <c r="D28" s="171">
        <v>232.33512501551692</v>
      </c>
      <c r="E28" s="171">
        <v>278.75209318483718</v>
      </c>
      <c r="F28" s="171">
        <v>278.75209318483718</v>
      </c>
      <c r="G28" s="171">
        <v>232.33512501551692</v>
      </c>
      <c r="H28" s="171">
        <v>170.55995827389123</v>
      </c>
      <c r="I28" s="171">
        <v>117.12077208507021</v>
      </c>
    </row>
    <row r="29" spans="2:17" x14ac:dyDescent="0.3">
      <c r="B29" s="168">
        <f>+B30-$C$23</f>
        <v>2.4999999999999998E-2</v>
      </c>
      <c r="C29" s="171">
        <v>170.55995827389123</v>
      </c>
      <c r="D29" s="171">
        <v>232.33512501551692</v>
      </c>
      <c r="E29" s="171">
        <v>278.75209318483718</v>
      </c>
      <c r="F29" s="171">
        <v>278.75209318483718</v>
      </c>
      <c r="G29" s="171">
        <v>232.33512501551692</v>
      </c>
      <c r="H29" s="171">
        <v>170.55995827389123</v>
      </c>
      <c r="I29" s="171">
        <v>117.12077208507021</v>
      </c>
    </row>
    <row r="30" spans="2:17" x14ac:dyDescent="0.3">
      <c r="B30" s="168">
        <f>+F23</f>
        <v>0.03</v>
      </c>
      <c r="C30" s="171">
        <v>170.55995827389123</v>
      </c>
      <c r="D30" s="171">
        <v>232.33512501551692</v>
      </c>
      <c r="E30" s="171">
        <v>278.75209318483718</v>
      </c>
      <c r="F30" s="171">
        <v>278.75209318483718</v>
      </c>
      <c r="G30" s="171">
        <v>232.33512501551692</v>
      </c>
      <c r="H30" s="171">
        <v>170.55995827389123</v>
      </c>
      <c r="I30" s="171">
        <v>117.12077208507021</v>
      </c>
    </row>
    <row r="31" spans="2:17" x14ac:dyDescent="0.3">
      <c r="B31" s="168">
        <f>+B30+$C$23</f>
        <v>3.4999999999999996E-2</v>
      </c>
      <c r="C31" s="171">
        <v>170.55995827389123</v>
      </c>
      <c r="D31" s="171">
        <v>232.33512501551692</v>
      </c>
      <c r="E31" s="171">
        <v>278.75209318483718</v>
      </c>
      <c r="F31" s="171">
        <v>278.75209318483718</v>
      </c>
      <c r="G31" s="171">
        <v>232.33512501551692</v>
      </c>
      <c r="H31" s="171">
        <v>170.55995827389123</v>
      </c>
      <c r="I31" s="171">
        <v>117.12077208507021</v>
      </c>
    </row>
    <row r="32" spans="2:17" x14ac:dyDescent="0.3">
      <c r="B32" s="168">
        <f t="shared" ref="B32:B33" si="1">+B31+$C$23</f>
        <v>3.9999999999999994E-2</v>
      </c>
      <c r="C32" s="171">
        <v>170.55995827389123</v>
      </c>
      <c r="D32" s="171">
        <v>232.33512501551692</v>
      </c>
      <c r="E32" s="171">
        <v>278.75209318483718</v>
      </c>
      <c r="F32" s="171">
        <v>278.75209318483718</v>
      </c>
      <c r="G32" s="171">
        <v>232.33512501551692</v>
      </c>
      <c r="H32" s="171">
        <v>170.55995827389123</v>
      </c>
      <c r="I32" s="171">
        <v>117.12077208507021</v>
      </c>
    </row>
    <row r="33" spans="2:9" x14ac:dyDescent="0.3">
      <c r="B33" s="168">
        <f t="shared" si="1"/>
        <v>4.4999999999999991E-2</v>
      </c>
      <c r="C33" s="171">
        <v>170.55995827389123</v>
      </c>
      <c r="D33" s="171">
        <v>232.33512501551692</v>
      </c>
      <c r="E33" s="171">
        <v>278.75209318483718</v>
      </c>
      <c r="F33" s="171">
        <v>278.75209318483718</v>
      </c>
      <c r="G33" s="171">
        <v>232.33512501551692</v>
      </c>
      <c r="H33" s="171">
        <v>170.55995827389123</v>
      </c>
      <c r="I33" s="171">
        <v>117.12077208507021</v>
      </c>
    </row>
  </sheetData>
  <dataValidations count="1">
    <dataValidation allowBlank="1" showInputMessage="1" showErrorMessage="1" sqref="K25 B26:K33" xr:uid="{8C0A8D92-C92D-4A09-9750-EA862AFA483C}"/>
  </dataValidations>
  <hyperlinks>
    <hyperlink ref="F7" r:id="rId1" xr:uid="{0F956801-DAAA-450B-A197-8E82082F6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C86E-6526-4C25-9CE0-1C93D3387B38}">
  <dimension ref="B2:Y38"/>
  <sheetViews>
    <sheetView showGridLines="0" tabSelected="1" topLeftCell="G15" workbookViewId="0">
      <selection activeCell="L29" sqref="L29"/>
    </sheetView>
  </sheetViews>
  <sheetFormatPr baseColWidth="10" defaultColWidth="8.88671875" defaultRowHeight="14.4" x14ac:dyDescent="0.3"/>
  <cols>
    <col min="2" max="2" width="37" customWidth="1"/>
    <col min="3" max="3" width="13.33203125" style="6" customWidth="1"/>
    <col min="6" max="7" width="9.109375"/>
    <col min="8" max="8" width="10.5546875" bestFit="1" customWidth="1"/>
    <col min="9" max="10" width="11.5546875" bestFit="1" customWidth="1"/>
    <col min="11" max="11" width="10.44140625" customWidth="1"/>
    <col min="12" max="14" width="11.5546875" bestFit="1" customWidth="1"/>
    <col min="15" max="15" width="13" customWidth="1"/>
    <col min="16" max="25" width="11.5546875" bestFit="1" customWidth="1"/>
  </cols>
  <sheetData>
    <row r="2" spans="2:25" ht="15.6" x14ac:dyDescent="0.3">
      <c r="B2" s="128" t="s">
        <v>6</v>
      </c>
    </row>
    <row r="3" spans="2:25" ht="15.6" x14ac:dyDescent="0.3">
      <c r="B3" s="129" t="s">
        <v>2</v>
      </c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</row>
    <row r="4" spans="2:25" ht="15.6" x14ac:dyDescent="0.3">
      <c r="B4" s="127" t="s">
        <v>130</v>
      </c>
      <c r="H4" s="2">
        <v>2020</v>
      </c>
      <c r="I4" s="2">
        <v>2021</v>
      </c>
      <c r="J4" s="2">
        <v>2022</v>
      </c>
      <c r="K4" s="2">
        <v>2023</v>
      </c>
      <c r="L4" s="2">
        <v>2024</v>
      </c>
      <c r="M4" s="2">
        <v>2025</v>
      </c>
      <c r="N4" s="2">
        <v>2026</v>
      </c>
      <c r="O4" s="2">
        <v>2027</v>
      </c>
      <c r="P4" s="2">
        <v>2028</v>
      </c>
      <c r="Q4" s="2">
        <v>2029</v>
      </c>
      <c r="R4" s="2">
        <v>2030</v>
      </c>
      <c r="S4" s="2">
        <v>2031</v>
      </c>
      <c r="T4" s="2">
        <v>2032</v>
      </c>
      <c r="U4" s="2">
        <v>2033</v>
      </c>
      <c r="V4" s="2">
        <v>2034</v>
      </c>
      <c r="W4" s="2">
        <v>2035</v>
      </c>
      <c r="X4" s="2">
        <v>2036</v>
      </c>
      <c r="Y4" s="2">
        <v>2037</v>
      </c>
    </row>
    <row r="6" spans="2:25" x14ac:dyDescent="0.3">
      <c r="B6" s="86" t="s">
        <v>260</v>
      </c>
      <c r="C6" s="15" t="s">
        <v>9</v>
      </c>
      <c r="D6" s="15" t="s">
        <v>10</v>
      </c>
      <c r="E6" s="86"/>
      <c r="F6" s="131"/>
      <c r="G6" s="131"/>
      <c r="H6" s="86"/>
      <c r="I6" s="86"/>
      <c r="J6" s="86"/>
      <c r="K6" s="89"/>
      <c r="L6" s="86"/>
      <c r="M6" s="86"/>
      <c r="N6" s="86"/>
      <c r="O6" s="86"/>
      <c r="P6" s="86"/>
      <c r="Q6" s="86"/>
      <c r="R6" s="86"/>
      <c r="S6" s="89"/>
      <c r="T6" s="86"/>
      <c r="U6" s="86"/>
      <c r="V6" s="86"/>
      <c r="W6" s="86"/>
      <c r="X6" s="86"/>
      <c r="Y6" s="86"/>
    </row>
    <row r="7" spans="2:25" x14ac:dyDescent="0.3">
      <c r="B7" s="22"/>
      <c r="C7" s="137"/>
      <c r="D7" s="22"/>
      <c r="E7" s="22"/>
      <c r="F7" s="22"/>
      <c r="G7" s="22"/>
      <c r="H7" s="22"/>
      <c r="I7" s="22"/>
      <c r="J7" s="22"/>
      <c r="K7" s="90"/>
      <c r="L7" s="22"/>
      <c r="M7" s="22"/>
      <c r="N7" s="22"/>
      <c r="O7" s="22"/>
      <c r="P7" s="22"/>
      <c r="Q7" s="22"/>
    </row>
    <row r="8" spans="2:25" x14ac:dyDescent="0.3">
      <c r="B8" s="97" t="s">
        <v>261</v>
      </c>
      <c r="C8" s="138"/>
      <c r="D8" s="98"/>
      <c r="E8" s="98"/>
      <c r="F8" s="22"/>
      <c r="G8" s="22"/>
      <c r="H8" s="103">
        <f>+Supuestos!G19</f>
        <v>7984.9</v>
      </c>
      <c r="I8" s="103">
        <f>+Supuestos!H19</f>
        <v>10934.1</v>
      </c>
      <c r="J8" s="103">
        <f>+Supuestos!I19</f>
        <v>10047.9</v>
      </c>
      <c r="K8" s="103">
        <f>+Supuestos!J19</f>
        <v>9895.7999999999993</v>
      </c>
      <c r="L8" s="103">
        <f>+Supuestos!K19</f>
        <v>11433.4</v>
      </c>
      <c r="M8" s="103">
        <f>+Supuestos!L19</f>
        <v>13637.029854974791</v>
      </c>
      <c r="N8" s="103">
        <f>+Supuestos!M19</f>
        <v>11737.677177184823</v>
      </c>
      <c r="O8" s="103">
        <f>+Supuestos!N19</f>
        <v>13043.461593105216</v>
      </c>
      <c r="P8" s="103">
        <f>+Supuestos!O19</f>
        <v>13949.742270158935</v>
      </c>
      <c r="Q8" s="103">
        <f>+Supuestos!P19</f>
        <v>15028.44837015606</v>
      </c>
      <c r="R8" s="103">
        <f>+Supuestos!Q19</f>
        <v>17152.332344887218</v>
      </c>
      <c r="S8" s="103">
        <f>+Supuestos!R19</f>
        <v>17704.426150699062</v>
      </c>
      <c r="T8" s="103">
        <f>+Supuestos!S19</f>
        <v>31470.434462368823</v>
      </c>
      <c r="U8" s="103">
        <f>+Supuestos!T19</f>
        <v>32116.883567120291</v>
      </c>
      <c r="V8" s="103">
        <f>+Supuestos!U19</f>
        <v>32644.880139349756</v>
      </c>
      <c r="W8" s="103">
        <f>+Supuestos!V19</f>
        <v>33195.463499399179</v>
      </c>
      <c r="X8" s="103">
        <f>+Supuestos!W19</f>
        <v>33758.103306026365</v>
      </c>
      <c r="Y8" s="103">
        <f>+Supuestos!X19</f>
        <v>34288.491400348466</v>
      </c>
    </row>
    <row r="9" spans="2:25" x14ac:dyDescent="0.3">
      <c r="B9" s="87" t="s">
        <v>262</v>
      </c>
      <c r="C9" s="6" t="s">
        <v>55</v>
      </c>
      <c r="D9" s="22"/>
      <c r="E9" s="22"/>
      <c r="F9" s="22"/>
      <c r="G9" s="22"/>
      <c r="H9" s="104">
        <f>+Supuestos!G24</f>
        <v>3930</v>
      </c>
      <c r="I9" s="104">
        <f>+Supuestos!H24</f>
        <v>3894</v>
      </c>
      <c r="J9" s="104">
        <f>+Supuestos!I24</f>
        <v>4841.3999999999996</v>
      </c>
      <c r="K9" s="104">
        <f>+Supuestos!J24</f>
        <v>4687.7</v>
      </c>
      <c r="L9" s="104">
        <f>+Supuestos!K24</f>
        <v>4649.1000000000004</v>
      </c>
      <c r="M9" s="104">
        <f>+Supuestos!L24</f>
        <v>6190.0969272719758</v>
      </c>
      <c r="N9" s="104">
        <f>+Supuestos!M24</f>
        <v>5327.9460557385773</v>
      </c>
      <c r="O9" s="104">
        <f>+Supuestos!N24</f>
        <v>5920.6654518701189</v>
      </c>
      <c r="P9" s="104">
        <f>+Supuestos!O24</f>
        <v>6332.0428041188325</v>
      </c>
      <c r="Q9" s="104">
        <f>+Supuestos!P24</f>
        <v>6821.6872051381552</v>
      </c>
      <c r="R9" s="104">
        <f>+Supuestos!Q24</f>
        <v>7785.7569333472993</v>
      </c>
      <c r="S9" s="104">
        <f>+Supuestos!R24</f>
        <v>8036.362395626541</v>
      </c>
      <c r="T9" s="104">
        <f>+Supuestos!S24</f>
        <v>14285.005000143665</v>
      </c>
      <c r="U9" s="104">
        <f>+Supuestos!T24</f>
        <v>14578.440055981722</v>
      </c>
      <c r="V9" s="104">
        <f>+Supuestos!U24</f>
        <v>14818.107343809465</v>
      </c>
      <c r="W9" s="104">
        <f>+Supuestos!V24</f>
        <v>15068.027187169322</v>
      </c>
      <c r="X9" s="104">
        <f>+Supuestos!W24</f>
        <v>15323.419671838064</v>
      </c>
      <c r="Y9" s="104">
        <f>+Supuestos!X24</f>
        <v>15564.17251522406</v>
      </c>
    </row>
    <row r="10" spans="2:25" x14ac:dyDescent="0.3">
      <c r="B10" s="22"/>
      <c r="C10" s="137"/>
      <c r="D10" s="22"/>
      <c r="E10" s="22"/>
      <c r="F10" s="22"/>
      <c r="G10" s="22"/>
      <c r="H10" s="22"/>
      <c r="I10" s="22"/>
      <c r="J10" s="22"/>
      <c r="K10" s="90"/>
      <c r="L10" s="22"/>
      <c r="M10" s="22"/>
      <c r="N10" s="22"/>
      <c r="O10" s="22"/>
      <c r="P10" s="22"/>
      <c r="Q10" s="22"/>
      <c r="R10" s="93"/>
      <c r="S10" s="93"/>
      <c r="T10" s="93"/>
      <c r="U10" s="93"/>
      <c r="V10" s="93"/>
      <c r="W10" s="93"/>
      <c r="X10" s="93"/>
      <c r="Y10" s="93"/>
    </row>
    <row r="11" spans="2:25" x14ac:dyDescent="0.3">
      <c r="B11" s="97" t="s">
        <v>263</v>
      </c>
      <c r="C11" s="138"/>
      <c r="D11" s="98"/>
      <c r="E11" s="98"/>
      <c r="F11" s="22"/>
      <c r="G11" s="22"/>
      <c r="H11" s="98"/>
      <c r="I11" s="98"/>
      <c r="J11" s="98"/>
      <c r="K11" s="99"/>
      <c r="L11" s="98"/>
      <c r="M11" s="98"/>
      <c r="N11" s="98"/>
      <c r="O11" s="98"/>
      <c r="P11" s="98"/>
      <c r="Q11" s="98"/>
      <c r="R11" s="100"/>
      <c r="S11" s="100"/>
      <c r="T11" s="100"/>
      <c r="U11" s="100"/>
      <c r="V11" s="100"/>
      <c r="W11" s="100"/>
      <c r="X11" s="100"/>
      <c r="Y11" s="100"/>
    </row>
    <row r="12" spans="2:25" x14ac:dyDescent="0.3">
      <c r="B12" s="22" t="s">
        <v>264</v>
      </c>
      <c r="C12" s="6" t="s">
        <v>55</v>
      </c>
      <c r="D12" s="22"/>
      <c r="E12" s="22"/>
      <c r="F12" s="22"/>
      <c r="G12" s="22"/>
      <c r="H12" s="104">
        <f>+'Fin. Statement'!G45+'Fin. Statement'!G46</f>
        <v>1136.6000000000001</v>
      </c>
      <c r="I12" s="104">
        <f>+'Fin. Statement'!H45+'Fin. Statement'!H46</f>
        <v>1446.6000000000001</v>
      </c>
      <c r="J12" s="104">
        <f>+'Fin. Statement'!I45+'Fin. Statement'!I46</f>
        <v>1473.8</v>
      </c>
      <c r="K12" s="104">
        <f>+'Fin. Statement'!J45+'Fin. Statement'!J46</f>
        <v>1228.3</v>
      </c>
      <c r="L12" s="104">
        <f>+'Fin. Statement'!K45+'Fin. Statement'!K46</f>
        <v>1243.8</v>
      </c>
      <c r="M12" s="104">
        <f>+M8*M13</f>
        <v>1725.4811975784673</v>
      </c>
      <c r="N12" s="104">
        <f t="shared" ref="N12:Y12" si="0">+N8*N13</f>
        <v>1485.1578010654544</v>
      </c>
      <c r="O12" s="104">
        <f t="shared" si="0"/>
        <v>1650.3775359874019</v>
      </c>
      <c r="P12" s="104">
        <f t="shared" si="0"/>
        <v>1765.0484199419759</v>
      </c>
      <c r="Q12" s="104">
        <f t="shared" si="0"/>
        <v>1901.5361385326366</v>
      </c>
      <c r="R12" s="104">
        <f t="shared" si="0"/>
        <v>2170.2692793418828</v>
      </c>
      <c r="S12" s="104">
        <f t="shared" si="0"/>
        <v>2240.1252150814644</v>
      </c>
      <c r="T12" s="104">
        <f t="shared" si="0"/>
        <v>3981.9259414933067</v>
      </c>
      <c r="U12" s="104">
        <f t="shared" si="0"/>
        <v>4063.72056886469</v>
      </c>
      <c r="V12" s="104">
        <f t="shared" si="0"/>
        <v>4130.5275031793108</v>
      </c>
      <c r="W12" s="104">
        <f t="shared" si="0"/>
        <v>4200.1923235667418</v>
      </c>
      <c r="X12" s="104">
        <f t="shared" si="0"/>
        <v>4271.38263536255</v>
      </c>
      <c r="Y12" s="104">
        <f t="shared" si="0"/>
        <v>4338.4921668298002</v>
      </c>
    </row>
    <row r="13" spans="2:25" s="30" customFormat="1" x14ac:dyDescent="0.3">
      <c r="B13" s="94" t="s">
        <v>265</v>
      </c>
      <c r="C13" s="139" t="s">
        <v>12</v>
      </c>
      <c r="D13" s="95"/>
      <c r="E13" s="95"/>
      <c r="F13" s="95"/>
      <c r="G13" s="95"/>
      <c r="H13" s="96">
        <f>+H12/H8</f>
        <v>0.14234367368407871</v>
      </c>
      <c r="I13" s="96">
        <f t="shared" ref="I13:L13" si="1">+I12/I8</f>
        <v>0.1323016983565177</v>
      </c>
      <c r="J13" s="96">
        <f t="shared" si="1"/>
        <v>0.14667741518128166</v>
      </c>
      <c r="K13" s="96">
        <f t="shared" si="1"/>
        <v>0.12412336546817843</v>
      </c>
      <c r="L13" s="96">
        <f t="shared" si="1"/>
        <v>0.1087865376878269</v>
      </c>
      <c r="M13" s="96">
        <f>+AVERAGE($J$13:$L$13)</f>
        <v>0.12652910611242899</v>
      </c>
      <c r="N13" s="96">
        <f t="shared" ref="N13:Y13" si="2">+AVERAGE($J$13:$L$13)</f>
        <v>0.12652910611242899</v>
      </c>
      <c r="O13" s="96">
        <f t="shared" si="2"/>
        <v>0.12652910611242899</v>
      </c>
      <c r="P13" s="96">
        <f t="shared" si="2"/>
        <v>0.12652910611242899</v>
      </c>
      <c r="Q13" s="96">
        <f t="shared" si="2"/>
        <v>0.12652910611242899</v>
      </c>
      <c r="R13" s="96">
        <f t="shared" si="2"/>
        <v>0.12652910611242899</v>
      </c>
      <c r="S13" s="96">
        <f t="shared" si="2"/>
        <v>0.12652910611242899</v>
      </c>
      <c r="T13" s="96">
        <f t="shared" si="2"/>
        <v>0.12652910611242899</v>
      </c>
      <c r="U13" s="96">
        <f t="shared" si="2"/>
        <v>0.12652910611242899</v>
      </c>
      <c r="V13" s="96">
        <f t="shared" si="2"/>
        <v>0.12652910611242899</v>
      </c>
      <c r="W13" s="96">
        <f t="shared" si="2"/>
        <v>0.12652910611242899</v>
      </c>
      <c r="X13" s="96">
        <f t="shared" si="2"/>
        <v>0.12652910611242899</v>
      </c>
      <c r="Y13" s="96">
        <f t="shared" si="2"/>
        <v>0.12652910611242899</v>
      </c>
    </row>
    <row r="14" spans="2:25" x14ac:dyDescent="0.3">
      <c r="B14" s="22" t="s">
        <v>266</v>
      </c>
      <c r="C14" s="6" t="s">
        <v>55</v>
      </c>
      <c r="D14" s="22"/>
      <c r="E14" s="22"/>
      <c r="F14" s="22"/>
      <c r="G14" s="22"/>
      <c r="H14" s="104">
        <f>+'Fin. Statement'!G47</f>
        <v>950.2</v>
      </c>
      <c r="I14" s="104">
        <f>+'Fin. Statement'!H47</f>
        <v>972.9</v>
      </c>
      <c r="J14" s="104">
        <f>+'Fin. Statement'!I47</f>
        <v>1013.9</v>
      </c>
      <c r="K14" s="104">
        <f>+'Fin. Statement'!J47</f>
        <v>1016.9</v>
      </c>
      <c r="L14" s="104">
        <f>+'Fin. Statement'!K47</f>
        <v>1048.9000000000001</v>
      </c>
      <c r="M14" s="104">
        <f>+M15*M8</f>
        <v>1342.8265754309466</v>
      </c>
      <c r="N14" s="104">
        <f t="shared" ref="N14:Y14" si="3">+N15*N8</f>
        <v>1155.7989543891201</v>
      </c>
      <c r="O14" s="104">
        <f t="shared" si="3"/>
        <v>1284.37842030866</v>
      </c>
      <c r="P14" s="104">
        <f t="shared" si="3"/>
        <v>1373.6190974127974</v>
      </c>
      <c r="Q14" s="104">
        <f t="shared" si="3"/>
        <v>1479.8383572927039</v>
      </c>
      <c r="R14" s="104">
        <f t="shared" si="3"/>
        <v>1688.9753816103923</v>
      </c>
      <c r="S14" s="104">
        <f t="shared" si="3"/>
        <v>1743.3395827934314</v>
      </c>
      <c r="T14" s="104">
        <f t="shared" si="3"/>
        <v>3098.8665556826186</v>
      </c>
      <c r="U14" s="104">
        <f t="shared" si="3"/>
        <v>3162.5218418230347</v>
      </c>
      <c r="V14" s="104">
        <f t="shared" si="3"/>
        <v>3214.5132091857399</v>
      </c>
      <c r="W14" s="104">
        <f t="shared" si="3"/>
        <v>3268.7286780764762</v>
      </c>
      <c r="X14" s="104">
        <f t="shared" si="3"/>
        <v>3324.1313348697145</v>
      </c>
      <c r="Y14" s="104">
        <f t="shared" si="3"/>
        <v>3376.3581933515179</v>
      </c>
    </row>
    <row r="15" spans="2:25" s="30" customFormat="1" x14ac:dyDescent="0.3">
      <c r="B15" s="94" t="s">
        <v>265</v>
      </c>
      <c r="C15" s="139" t="s">
        <v>12</v>
      </c>
      <c r="D15" s="95"/>
      <c r="E15" s="95"/>
      <c r="F15" s="95"/>
      <c r="G15" s="95"/>
      <c r="H15" s="96">
        <f>+H14/H8</f>
        <v>0.11899961176721062</v>
      </c>
      <c r="I15" s="96">
        <f t="shared" ref="I15:L15" si="4">+I14/I8</f>
        <v>8.8978516750349818E-2</v>
      </c>
      <c r="J15" s="96">
        <f t="shared" si="4"/>
        <v>0.10090665711243145</v>
      </c>
      <c r="K15" s="96">
        <f t="shared" si="4"/>
        <v>0.10276076719416319</v>
      </c>
      <c r="L15" s="96">
        <f t="shared" si="4"/>
        <v>9.173998985428658E-2</v>
      </c>
      <c r="M15" s="96">
        <f>+AVERAGE($J$15:$L$15)</f>
        <v>9.8469138053627073E-2</v>
      </c>
      <c r="N15" s="96">
        <f t="shared" ref="N15:Y15" si="5">+AVERAGE($J$15:$L$15)</f>
        <v>9.8469138053627073E-2</v>
      </c>
      <c r="O15" s="96">
        <f t="shared" si="5"/>
        <v>9.8469138053627073E-2</v>
      </c>
      <c r="P15" s="96">
        <f t="shared" si="5"/>
        <v>9.8469138053627073E-2</v>
      </c>
      <c r="Q15" s="96">
        <f t="shared" si="5"/>
        <v>9.8469138053627073E-2</v>
      </c>
      <c r="R15" s="96">
        <f t="shared" si="5"/>
        <v>9.8469138053627073E-2</v>
      </c>
      <c r="S15" s="96">
        <f t="shared" si="5"/>
        <v>9.8469138053627073E-2</v>
      </c>
      <c r="T15" s="96">
        <f t="shared" si="5"/>
        <v>9.8469138053627073E-2</v>
      </c>
      <c r="U15" s="96">
        <f t="shared" si="5"/>
        <v>9.8469138053627073E-2</v>
      </c>
      <c r="V15" s="96">
        <f t="shared" si="5"/>
        <v>9.8469138053627073E-2</v>
      </c>
      <c r="W15" s="96">
        <f t="shared" si="5"/>
        <v>9.8469138053627073E-2</v>
      </c>
      <c r="X15" s="96">
        <f t="shared" si="5"/>
        <v>9.8469138053627073E-2</v>
      </c>
      <c r="Y15" s="96">
        <f t="shared" si="5"/>
        <v>9.8469138053627073E-2</v>
      </c>
    </row>
    <row r="16" spans="2:25" x14ac:dyDescent="0.3">
      <c r="B16" s="22"/>
      <c r="C16" s="137"/>
      <c r="D16" s="22"/>
      <c r="E16" s="22"/>
      <c r="F16" s="22"/>
      <c r="G16" s="22"/>
      <c r="H16" s="22"/>
      <c r="I16" s="22"/>
      <c r="J16" s="22"/>
      <c r="K16" s="90"/>
      <c r="L16" s="22"/>
      <c r="M16" s="22"/>
      <c r="N16" s="22"/>
      <c r="O16" s="22"/>
      <c r="P16" s="22"/>
      <c r="Q16" s="22"/>
      <c r="R16" s="93"/>
      <c r="S16" s="93"/>
      <c r="T16" s="93"/>
      <c r="U16" s="93"/>
      <c r="V16" s="93"/>
      <c r="W16" s="93"/>
      <c r="X16" s="93"/>
      <c r="Y16" s="93"/>
    </row>
    <row r="17" spans="2:25" x14ac:dyDescent="0.3">
      <c r="B17" s="97" t="s">
        <v>267</v>
      </c>
      <c r="C17" s="138"/>
      <c r="D17" s="98"/>
      <c r="E17" s="98"/>
      <c r="F17" s="22"/>
      <c r="G17" s="22"/>
      <c r="H17" s="98"/>
      <c r="I17" s="98"/>
      <c r="J17" s="98"/>
      <c r="K17" s="99"/>
      <c r="L17" s="98"/>
      <c r="M17" s="98"/>
      <c r="N17" s="98"/>
      <c r="O17" s="98"/>
      <c r="P17" s="98"/>
      <c r="Q17" s="98"/>
      <c r="R17" s="100"/>
      <c r="S17" s="100"/>
      <c r="T17" s="100"/>
      <c r="U17" s="100"/>
      <c r="V17" s="100"/>
      <c r="W17" s="100"/>
      <c r="X17" s="100"/>
      <c r="Y17" s="100"/>
    </row>
    <row r="18" spans="2:25" x14ac:dyDescent="0.3">
      <c r="B18" s="22" t="s">
        <v>268</v>
      </c>
      <c r="C18" s="6" t="s">
        <v>55</v>
      </c>
      <c r="D18" s="22"/>
      <c r="E18" s="22"/>
      <c r="F18" s="22"/>
      <c r="G18" s="22"/>
      <c r="H18" s="104">
        <f>+'Fin. Statement'!G67</f>
        <v>594.6</v>
      </c>
      <c r="I18" s="104">
        <f>+'Fin. Statement'!H67</f>
        <v>591.9</v>
      </c>
      <c r="J18" s="104">
        <f>+'Fin. Statement'!I67</f>
        <v>657.6</v>
      </c>
      <c r="K18" s="104">
        <f>+'Fin. Statement'!J67</f>
        <v>652.6</v>
      </c>
      <c r="L18" s="104">
        <f>+'Fin. Statement'!K67</f>
        <v>615.20000000000005</v>
      </c>
      <c r="M18" s="104">
        <f>+M19*M8</f>
        <v>841.8636151399603</v>
      </c>
      <c r="N18" s="104">
        <f t="shared" ref="N18:Y18" si="6">+N19*N8</f>
        <v>724.60964350868812</v>
      </c>
      <c r="O18" s="104">
        <f t="shared" si="6"/>
        <v>805.2204803749828</v>
      </c>
      <c r="P18" s="104">
        <f t="shared" si="6"/>
        <v>861.16849363225413</v>
      </c>
      <c r="Q18" s="104">
        <f t="shared" si="6"/>
        <v>927.76095743666713</v>
      </c>
      <c r="R18" s="104">
        <f t="shared" si="6"/>
        <v>1058.87606535386</v>
      </c>
      <c r="S18" s="104">
        <f t="shared" si="6"/>
        <v>1092.9588306040646</v>
      </c>
      <c r="T18" s="104">
        <f t="shared" si="6"/>
        <v>1942.7847565245347</v>
      </c>
      <c r="U18" s="104">
        <f t="shared" si="6"/>
        <v>1982.6924186854069</v>
      </c>
      <c r="V18" s="104">
        <f t="shared" si="6"/>
        <v>2015.2875737745815</v>
      </c>
      <c r="W18" s="104">
        <f t="shared" si="6"/>
        <v>2049.2770936961811</v>
      </c>
      <c r="X18" s="104">
        <f t="shared" si="6"/>
        <v>2084.0109020595919</v>
      </c>
      <c r="Y18" s="104">
        <f t="shared" si="6"/>
        <v>2116.7536945343268</v>
      </c>
    </row>
    <row r="19" spans="2:25" s="30" customFormat="1" x14ac:dyDescent="0.3">
      <c r="B19" s="94" t="s">
        <v>265</v>
      </c>
      <c r="C19" s="139" t="s">
        <v>12</v>
      </c>
      <c r="D19" s="95"/>
      <c r="E19" s="95"/>
      <c r="F19" s="95"/>
      <c r="G19" s="95"/>
      <c r="H19" s="96">
        <f>+H18/H8</f>
        <v>7.4465553732670428E-2</v>
      </c>
      <c r="I19" s="96">
        <f t="shared" ref="I19:L19" si="7">+I18/I8</f>
        <v>5.4133399182374406E-2</v>
      </c>
      <c r="J19" s="96">
        <f t="shared" si="7"/>
        <v>6.5446511211297881E-2</v>
      </c>
      <c r="K19" s="96">
        <f t="shared" si="7"/>
        <v>6.594716950625519E-2</v>
      </c>
      <c r="L19" s="96">
        <f t="shared" si="7"/>
        <v>5.3807266429933359E-2</v>
      </c>
      <c r="M19" s="96">
        <f>+AVERAGE($J$19:$L$19)</f>
        <v>6.1733649049162148E-2</v>
      </c>
      <c r="N19" s="96">
        <f t="shared" ref="N19:Y19" si="8">+AVERAGE($J$19:$L$19)</f>
        <v>6.1733649049162148E-2</v>
      </c>
      <c r="O19" s="96">
        <f t="shared" si="8"/>
        <v>6.1733649049162148E-2</v>
      </c>
      <c r="P19" s="96">
        <f t="shared" si="8"/>
        <v>6.1733649049162148E-2</v>
      </c>
      <c r="Q19" s="96">
        <f t="shared" si="8"/>
        <v>6.1733649049162148E-2</v>
      </c>
      <c r="R19" s="96">
        <f t="shared" si="8"/>
        <v>6.1733649049162148E-2</v>
      </c>
      <c r="S19" s="96">
        <f t="shared" si="8"/>
        <v>6.1733649049162148E-2</v>
      </c>
      <c r="T19" s="96">
        <f t="shared" si="8"/>
        <v>6.1733649049162148E-2</v>
      </c>
      <c r="U19" s="96">
        <f t="shared" si="8"/>
        <v>6.1733649049162148E-2</v>
      </c>
      <c r="V19" s="96">
        <f t="shared" si="8"/>
        <v>6.1733649049162148E-2</v>
      </c>
      <c r="W19" s="96">
        <f t="shared" si="8"/>
        <v>6.1733649049162148E-2</v>
      </c>
      <c r="X19" s="96">
        <f t="shared" si="8"/>
        <v>6.1733649049162148E-2</v>
      </c>
      <c r="Y19" s="96">
        <f t="shared" si="8"/>
        <v>6.1733649049162148E-2</v>
      </c>
    </row>
    <row r="20" spans="2:25" x14ac:dyDescent="0.3">
      <c r="B20" s="92"/>
      <c r="C20" s="137"/>
      <c r="D20" s="22"/>
      <c r="E20" s="22"/>
      <c r="F20" s="22"/>
      <c r="G20" s="22"/>
      <c r="H20" s="22"/>
      <c r="I20" s="22"/>
      <c r="J20" s="22"/>
      <c r="K20" s="90"/>
      <c r="L20" s="22"/>
      <c r="M20" s="88"/>
      <c r="N20" s="88"/>
      <c r="O20" s="88"/>
      <c r="P20" s="88"/>
      <c r="Q20" s="88"/>
    </row>
    <row r="21" spans="2:25" x14ac:dyDescent="0.3">
      <c r="B21" s="97" t="s">
        <v>269</v>
      </c>
      <c r="C21" s="138"/>
      <c r="D21" s="98"/>
      <c r="E21" s="98"/>
      <c r="F21" s="22"/>
      <c r="G21" s="22"/>
      <c r="H21" s="98"/>
      <c r="I21" s="98"/>
      <c r="J21" s="98"/>
      <c r="K21" s="99"/>
      <c r="L21" s="98"/>
      <c r="M21" s="101"/>
      <c r="N21" s="101"/>
      <c r="O21" s="101"/>
      <c r="P21" s="101"/>
      <c r="Q21" s="101"/>
      <c r="R21" s="34"/>
      <c r="S21" s="34"/>
      <c r="T21" s="34"/>
      <c r="U21" s="34"/>
      <c r="V21" s="34"/>
      <c r="W21" s="34"/>
      <c r="X21" s="34"/>
      <c r="Y21" s="34"/>
    </row>
    <row r="22" spans="2:25" x14ac:dyDescent="0.3">
      <c r="B22" s="22" t="s">
        <v>264</v>
      </c>
      <c r="C22" s="137" t="s">
        <v>270</v>
      </c>
      <c r="D22" s="22"/>
      <c r="E22" s="22">
        <v>365</v>
      </c>
      <c r="F22" s="22"/>
      <c r="G22" s="22"/>
      <c r="H22" s="22">
        <f>INT(H12/H8*$E$22)</f>
        <v>51</v>
      </c>
      <c r="I22" s="22">
        <f t="shared" ref="I22:Q22" si="9">INT(I12/I8*$E$22)</f>
        <v>48</v>
      </c>
      <c r="J22" s="22">
        <f t="shared" si="9"/>
        <v>53</v>
      </c>
      <c r="K22" s="22">
        <f t="shared" si="9"/>
        <v>45</v>
      </c>
      <c r="L22" s="22">
        <f t="shared" si="9"/>
        <v>39</v>
      </c>
      <c r="M22" s="22">
        <f t="shared" si="9"/>
        <v>46</v>
      </c>
      <c r="N22" s="22">
        <f t="shared" si="9"/>
        <v>46</v>
      </c>
      <c r="O22" s="22">
        <f t="shared" si="9"/>
        <v>46</v>
      </c>
      <c r="P22" s="22">
        <f t="shared" si="9"/>
        <v>46</v>
      </c>
      <c r="Q22" s="22">
        <f t="shared" si="9"/>
        <v>46</v>
      </c>
      <c r="R22" s="22">
        <f t="shared" ref="R22:Y22" si="10">INT(R12/R8*$E$22)</f>
        <v>46</v>
      </c>
      <c r="S22" s="22">
        <f t="shared" si="10"/>
        <v>46</v>
      </c>
      <c r="T22" s="22">
        <f t="shared" si="10"/>
        <v>46</v>
      </c>
      <c r="U22" s="22">
        <f t="shared" si="10"/>
        <v>46</v>
      </c>
      <c r="V22" s="22">
        <f t="shared" si="10"/>
        <v>46</v>
      </c>
      <c r="W22" s="22">
        <f t="shared" si="10"/>
        <v>46</v>
      </c>
      <c r="X22" s="22">
        <f t="shared" si="10"/>
        <v>46</v>
      </c>
      <c r="Y22" s="22">
        <f t="shared" si="10"/>
        <v>46</v>
      </c>
    </row>
    <row r="23" spans="2:25" x14ac:dyDescent="0.3">
      <c r="B23" s="22" t="s">
        <v>266</v>
      </c>
      <c r="C23" s="137" t="s">
        <v>270</v>
      </c>
      <c r="D23" s="22"/>
      <c r="E23" s="22">
        <v>365</v>
      </c>
      <c r="F23" s="22"/>
      <c r="G23" s="22"/>
      <c r="H23" s="22">
        <f>+INT(H14/H9*$E$23)</f>
        <v>88</v>
      </c>
      <c r="I23" s="22">
        <f t="shared" ref="I23:Q23" si="11">+INT(I14/I9*$E$23)</f>
        <v>91</v>
      </c>
      <c r="J23" s="22">
        <f t="shared" si="11"/>
        <v>76</v>
      </c>
      <c r="K23" s="22">
        <f t="shared" si="11"/>
        <v>79</v>
      </c>
      <c r="L23" s="22">
        <f t="shared" si="11"/>
        <v>82</v>
      </c>
      <c r="M23" s="22">
        <f t="shared" si="11"/>
        <v>79</v>
      </c>
      <c r="N23" s="22">
        <f t="shared" si="11"/>
        <v>79</v>
      </c>
      <c r="O23" s="22">
        <f t="shared" si="11"/>
        <v>79</v>
      </c>
      <c r="P23" s="22">
        <f t="shared" si="11"/>
        <v>79</v>
      </c>
      <c r="Q23" s="22">
        <f t="shared" si="11"/>
        <v>79</v>
      </c>
      <c r="R23" s="22">
        <f t="shared" ref="R23:Y23" si="12">+INT(R14/R9*$E$23)</f>
        <v>79</v>
      </c>
      <c r="S23" s="22">
        <f t="shared" si="12"/>
        <v>79</v>
      </c>
      <c r="T23" s="22">
        <f t="shared" si="12"/>
        <v>79</v>
      </c>
      <c r="U23" s="22">
        <f t="shared" si="12"/>
        <v>79</v>
      </c>
      <c r="V23" s="22">
        <f t="shared" si="12"/>
        <v>79</v>
      </c>
      <c r="W23" s="22">
        <f t="shared" si="12"/>
        <v>79</v>
      </c>
      <c r="X23" s="22">
        <f t="shared" si="12"/>
        <v>79</v>
      </c>
      <c r="Y23" s="22">
        <f t="shared" si="12"/>
        <v>79</v>
      </c>
    </row>
    <row r="24" spans="2:25" x14ac:dyDescent="0.3">
      <c r="B24" s="22"/>
      <c r="C24" s="137"/>
      <c r="D24" s="22"/>
      <c r="E24" s="22"/>
      <c r="F24" s="22"/>
      <c r="G24" s="22"/>
      <c r="H24" s="22"/>
      <c r="I24" s="22"/>
      <c r="J24" s="22"/>
      <c r="K24" s="90"/>
      <c r="L24" s="22"/>
      <c r="M24" s="88"/>
      <c r="N24" s="88"/>
      <c r="O24" s="88"/>
      <c r="P24" s="88"/>
      <c r="Q24" s="88"/>
    </row>
    <row r="25" spans="2:25" x14ac:dyDescent="0.3">
      <c r="B25" s="97" t="s">
        <v>271</v>
      </c>
      <c r="C25" s="138"/>
      <c r="D25" s="98"/>
      <c r="E25" s="98"/>
      <c r="F25" s="22"/>
      <c r="G25" s="22"/>
      <c r="H25" s="98"/>
      <c r="I25" s="98"/>
      <c r="J25" s="98"/>
      <c r="K25" s="99"/>
      <c r="L25" s="98"/>
      <c r="M25" s="101"/>
      <c r="N25" s="101"/>
      <c r="O25" s="101"/>
      <c r="P25" s="101"/>
      <c r="Q25" s="101"/>
      <c r="R25" s="34"/>
      <c r="S25" s="34"/>
      <c r="T25" s="34"/>
      <c r="U25" s="34"/>
      <c r="V25" s="34"/>
      <c r="W25" s="34"/>
      <c r="X25" s="34"/>
      <c r="Y25" s="34"/>
    </row>
    <row r="26" spans="2:25" x14ac:dyDescent="0.3">
      <c r="B26" s="22" t="s">
        <v>268</v>
      </c>
      <c r="C26" s="137" t="s">
        <v>270</v>
      </c>
      <c r="D26" s="22"/>
      <c r="E26" s="22">
        <v>365</v>
      </c>
      <c r="F26" s="22"/>
      <c r="G26" s="22"/>
      <c r="H26" s="22">
        <f>+INT(H18/H8*$E$26)</f>
        <v>27</v>
      </c>
      <c r="I26" s="22">
        <f t="shared" ref="I26:Y26" si="13">+INT(I18/I8*$E$26)</f>
        <v>19</v>
      </c>
      <c r="J26" s="22">
        <f t="shared" si="13"/>
        <v>23</v>
      </c>
      <c r="K26" s="22">
        <f t="shared" si="13"/>
        <v>24</v>
      </c>
      <c r="L26" s="22">
        <f t="shared" si="13"/>
        <v>19</v>
      </c>
      <c r="M26" s="22">
        <f t="shared" si="13"/>
        <v>22</v>
      </c>
      <c r="N26" s="22">
        <f t="shared" si="13"/>
        <v>22</v>
      </c>
      <c r="O26" s="22">
        <f t="shared" si="13"/>
        <v>22</v>
      </c>
      <c r="P26" s="22">
        <f t="shared" si="13"/>
        <v>22</v>
      </c>
      <c r="Q26" s="22">
        <f t="shared" si="13"/>
        <v>22</v>
      </c>
      <c r="R26" s="22">
        <f t="shared" si="13"/>
        <v>22</v>
      </c>
      <c r="S26" s="22">
        <f t="shared" si="13"/>
        <v>22</v>
      </c>
      <c r="T26" s="22">
        <f t="shared" si="13"/>
        <v>22</v>
      </c>
      <c r="U26" s="22">
        <f t="shared" si="13"/>
        <v>22</v>
      </c>
      <c r="V26" s="22">
        <f t="shared" si="13"/>
        <v>22</v>
      </c>
      <c r="W26" s="22">
        <f t="shared" si="13"/>
        <v>22</v>
      </c>
      <c r="X26" s="22">
        <f t="shared" si="13"/>
        <v>22</v>
      </c>
      <c r="Y26" s="22">
        <f t="shared" si="13"/>
        <v>22</v>
      </c>
    </row>
    <row r="27" spans="2:25" x14ac:dyDescent="0.3">
      <c r="B27" s="22"/>
      <c r="C27" s="137"/>
      <c r="D27" s="22"/>
      <c r="E27" s="22"/>
      <c r="F27" s="22"/>
      <c r="G27" s="22"/>
      <c r="H27" s="22"/>
      <c r="I27" s="22"/>
      <c r="J27" s="22"/>
      <c r="K27" s="90"/>
      <c r="L27" s="22"/>
      <c r="M27" s="88"/>
      <c r="N27" s="88"/>
      <c r="O27" s="88"/>
      <c r="P27" s="88"/>
      <c r="Q27" s="88"/>
    </row>
    <row r="28" spans="2:25" x14ac:dyDescent="0.3">
      <c r="B28" s="97" t="s">
        <v>272</v>
      </c>
      <c r="C28" s="138"/>
      <c r="D28" s="98"/>
      <c r="E28" s="98"/>
      <c r="F28" s="22"/>
      <c r="G28" s="22"/>
      <c r="H28" s="98"/>
      <c r="I28" s="98"/>
      <c r="J28" s="98"/>
      <c r="K28" s="99"/>
      <c r="L28" s="98"/>
      <c r="M28" s="101"/>
      <c r="N28" s="101"/>
      <c r="O28" s="101"/>
      <c r="P28" s="101"/>
      <c r="Q28" s="101"/>
      <c r="R28" s="34"/>
      <c r="S28" s="34"/>
      <c r="T28" s="34"/>
      <c r="U28" s="34"/>
      <c r="V28" s="34"/>
      <c r="W28" s="34"/>
      <c r="X28" s="34"/>
      <c r="Y28" s="34"/>
    </row>
    <row r="29" spans="2:25" x14ac:dyDescent="0.3">
      <c r="B29" s="22" t="s">
        <v>260</v>
      </c>
      <c r="C29" s="6" t="s">
        <v>55</v>
      </c>
      <c r="D29" s="22"/>
      <c r="E29" s="22"/>
      <c r="F29" s="22"/>
      <c r="G29" s="22"/>
      <c r="H29" s="104">
        <f>+H12+H14-H18</f>
        <v>1492.2000000000003</v>
      </c>
      <c r="I29" s="104">
        <f t="shared" ref="I29:Y29" si="14">+I12+I14-I18</f>
        <v>1827.6</v>
      </c>
      <c r="J29" s="104">
        <f t="shared" si="14"/>
        <v>1830.1</v>
      </c>
      <c r="K29" s="104">
        <f t="shared" si="14"/>
        <v>1592.6</v>
      </c>
      <c r="L29" s="104">
        <f t="shared" si="14"/>
        <v>1677.4999999999998</v>
      </c>
      <c r="M29" s="104">
        <f t="shared" si="14"/>
        <v>2226.4441578694532</v>
      </c>
      <c r="N29" s="104">
        <f t="shared" si="14"/>
        <v>1916.3471119458866</v>
      </c>
      <c r="O29" s="104">
        <f t="shared" si="14"/>
        <v>2129.5354759210791</v>
      </c>
      <c r="P29" s="104">
        <f t="shared" si="14"/>
        <v>2277.4990237225193</v>
      </c>
      <c r="Q29" s="104">
        <f t="shared" si="14"/>
        <v>2453.6135383886735</v>
      </c>
      <c r="R29" s="104">
        <f t="shared" si="14"/>
        <v>2800.3685955984147</v>
      </c>
      <c r="S29" s="104">
        <f t="shared" si="14"/>
        <v>2890.5059672708312</v>
      </c>
      <c r="T29" s="104">
        <f t="shared" si="14"/>
        <v>5138.007740651391</v>
      </c>
      <c r="U29" s="104">
        <f t="shared" si="14"/>
        <v>5243.5499920023176</v>
      </c>
      <c r="V29" s="104">
        <f>+V12+V14-V18</f>
        <v>5329.7531385904695</v>
      </c>
      <c r="W29" s="104">
        <f t="shared" si="14"/>
        <v>5419.6439079470365</v>
      </c>
      <c r="X29" s="104">
        <f t="shared" si="14"/>
        <v>5511.503068172673</v>
      </c>
      <c r="Y29" s="104">
        <f t="shared" si="14"/>
        <v>5598.0966656469918</v>
      </c>
    </row>
    <row r="30" spans="2:25" x14ac:dyDescent="0.3">
      <c r="B30" s="102" t="s">
        <v>273</v>
      </c>
      <c r="C30" s="6" t="s">
        <v>55</v>
      </c>
      <c r="D30" s="102"/>
      <c r="E30" s="102"/>
      <c r="F30" s="102"/>
      <c r="G30" s="102"/>
      <c r="H30" s="104" t="s">
        <v>178</v>
      </c>
      <c r="I30" s="104">
        <f>+I29-H29</f>
        <v>335.39999999999964</v>
      </c>
      <c r="J30" s="104">
        <f t="shared" ref="J30:Y30" si="15">+J29-I29</f>
        <v>2.5</v>
      </c>
      <c r="K30" s="104">
        <f t="shared" si="15"/>
        <v>-237.5</v>
      </c>
      <c r="L30" s="104">
        <f t="shared" si="15"/>
        <v>84.899999999999864</v>
      </c>
      <c r="M30" s="104">
        <f t="shared" si="15"/>
        <v>548.94415786945342</v>
      </c>
      <c r="N30" s="104">
        <f t="shared" si="15"/>
        <v>-310.09704592356661</v>
      </c>
      <c r="O30" s="104">
        <f t="shared" si="15"/>
        <v>213.18836397519249</v>
      </c>
      <c r="P30" s="104">
        <f t="shared" si="15"/>
        <v>147.9635478014402</v>
      </c>
      <c r="Q30" s="104">
        <f t="shared" si="15"/>
        <v>176.11451466615426</v>
      </c>
      <c r="R30" s="104">
        <f t="shared" si="15"/>
        <v>346.75505720974115</v>
      </c>
      <c r="S30" s="104">
        <f t="shared" si="15"/>
        <v>90.137371672416521</v>
      </c>
      <c r="T30" s="104">
        <f t="shared" si="15"/>
        <v>2247.5017733805598</v>
      </c>
      <c r="U30" s="104">
        <f t="shared" si="15"/>
        <v>105.54225135092656</v>
      </c>
      <c r="V30" s="104">
        <f>+V29-U29</f>
        <v>86.203146588151867</v>
      </c>
      <c r="W30" s="104">
        <f t="shared" si="15"/>
        <v>89.890769356567034</v>
      </c>
      <c r="X30" s="104">
        <f t="shared" si="15"/>
        <v>91.859160225636515</v>
      </c>
      <c r="Y30" s="104">
        <f t="shared" si="15"/>
        <v>86.593597474318813</v>
      </c>
    </row>
    <row r="31" spans="2:25" x14ac:dyDescent="0.3">
      <c r="B31" s="22"/>
      <c r="C31" s="137"/>
      <c r="D31" s="22"/>
      <c r="E31" s="22"/>
      <c r="F31" s="22"/>
      <c r="G31" s="22"/>
      <c r="H31" s="22"/>
      <c r="J31" s="22"/>
      <c r="K31" s="90"/>
      <c r="L31" s="22"/>
      <c r="M31" s="22"/>
      <c r="N31" s="22"/>
      <c r="O31" s="22"/>
      <c r="P31" s="22"/>
      <c r="Q31" s="22"/>
    </row>
    <row r="32" spans="2:25" x14ac:dyDescent="0.3">
      <c r="B32" s="22"/>
      <c r="C32" s="137"/>
      <c r="D32" s="22"/>
      <c r="E32" s="22"/>
      <c r="F32" s="22"/>
      <c r="G32" s="22"/>
      <c r="H32" s="22"/>
      <c r="I32" s="22"/>
      <c r="J32" s="22"/>
      <c r="K32" s="90"/>
      <c r="L32" s="22"/>
      <c r="M32" s="22"/>
      <c r="N32" s="22"/>
      <c r="O32" s="22"/>
      <c r="P32" s="22"/>
      <c r="Q32" s="22"/>
    </row>
    <row r="33" spans="2:17" x14ac:dyDescent="0.3">
      <c r="B33" s="90" t="s">
        <v>274</v>
      </c>
      <c r="C33" s="137"/>
      <c r="D33" s="22"/>
      <c r="E33" s="22"/>
      <c r="F33" s="22"/>
      <c r="G33" s="22"/>
      <c r="H33" s="22"/>
      <c r="I33" s="22"/>
      <c r="J33" s="22"/>
      <c r="L33" s="22"/>
      <c r="M33" s="22"/>
      <c r="N33" s="22"/>
      <c r="P33" s="22"/>
      <c r="Q33" s="22"/>
    </row>
    <row r="34" spans="2:17" x14ac:dyDescent="0.3">
      <c r="B34" s="90" t="s">
        <v>275</v>
      </c>
      <c r="C34" s="137"/>
      <c r="D34" s="22"/>
      <c r="E34" s="22"/>
      <c r="F34" s="22"/>
      <c r="G34" s="22"/>
      <c r="H34" s="22"/>
      <c r="I34" s="22"/>
      <c r="J34" s="22"/>
      <c r="L34" s="22"/>
      <c r="M34" s="22"/>
      <c r="N34" s="22"/>
      <c r="P34" s="22"/>
      <c r="Q34" s="22"/>
    </row>
    <row r="35" spans="2:17" x14ac:dyDescent="0.3">
      <c r="B35" s="90" t="s">
        <v>276</v>
      </c>
      <c r="C35" s="137"/>
      <c r="D35" s="22"/>
      <c r="E35" s="22"/>
      <c r="F35" s="22"/>
      <c r="G35" s="22"/>
      <c r="H35" s="22"/>
      <c r="I35" s="22"/>
      <c r="J35" s="22"/>
      <c r="L35" s="22"/>
      <c r="M35" s="22"/>
      <c r="N35" s="22"/>
      <c r="P35" s="22"/>
      <c r="Q35" s="22"/>
    </row>
    <row r="36" spans="2:17" x14ac:dyDescent="0.3">
      <c r="B36" s="22" t="s">
        <v>277</v>
      </c>
    </row>
    <row r="37" spans="2:17" x14ac:dyDescent="0.3">
      <c r="B37" s="22" t="s">
        <v>278</v>
      </c>
    </row>
    <row r="38" spans="2:17" x14ac:dyDescent="0.3">
      <c r="B38" s="22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989A-CB78-4FCF-9271-1E740CF405CC}">
  <dimension ref="B1:X47"/>
  <sheetViews>
    <sheetView showGridLines="0" workbookViewId="0">
      <selection activeCell="C46" sqref="C46:C47"/>
    </sheetView>
  </sheetViews>
  <sheetFormatPr baseColWidth="10" defaultColWidth="8.88671875" defaultRowHeight="14.4" x14ac:dyDescent="0.3"/>
  <cols>
    <col min="2" max="2" width="48.5546875" customWidth="1"/>
    <col min="3" max="3" width="14.109375" style="6" customWidth="1"/>
    <col min="5" max="6" width="9.109375"/>
    <col min="9" max="11" width="10.44140625" bestFit="1" customWidth="1"/>
    <col min="12" max="24" width="11.44140625" bestFit="1" customWidth="1"/>
  </cols>
  <sheetData>
    <row r="1" spans="2:24" x14ac:dyDescent="0.3">
      <c r="D1" s="6"/>
    </row>
    <row r="2" spans="2:24" ht="15.6" x14ac:dyDescent="0.3">
      <c r="B2" s="128" t="s">
        <v>6</v>
      </c>
      <c r="D2" s="6"/>
    </row>
    <row r="3" spans="2:24" ht="15.6" x14ac:dyDescent="0.3">
      <c r="B3" s="129" t="s">
        <v>2</v>
      </c>
      <c r="D3" s="6"/>
    </row>
    <row r="4" spans="2:24" ht="15.6" x14ac:dyDescent="0.3">
      <c r="B4" s="127" t="s">
        <v>130</v>
      </c>
      <c r="D4" s="6"/>
      <c r="G4" s="2">
        <v>2020</v>
      </c>
      <c r="H4" s="2">
        <v>2021</v>
      </c>
      <c r="I4" s="2">
        <v>2022</v>
      </c>
      <c r="J4" s="2">
        <v>2023</v>
      </c>
      <c r="K4" s="2">
        <v>2024</v>
      </c>
      <c r="L4" s="2">
        <v>2025</v>
      </c>
      <c r="M4" s="2">
        <v>2026</v>
      </c>
      <c r="N4" s="2">
        <v>2027</v>
      </c>
      <c r="O4" s="2">
        <v>2028</v>
      </c>
      <c r="P4" s="2">
        <v>2029</v>
      </c>
      <c r="Q4" s="2">
        <v>2030</v>
      </c>
      <c r="R4" s="2">
        <v>2031</v>
      </c>
      <c r="S4" s="2">
        <v>2032</v>
      </c>
      <c r="T4" s="2">
        <v>2033</v>
      </c>
      <c r="U4" s="2">
        <v>2034</v>
      </c>
      <c r="V4" s="2">
        <v>2035</v>
      </c>
      <c r="W4" s="2">
        <v>2036</v>
      </c>
      <c r="X4" s="2">
        <v>2037</v>
      </c>
    </row>
    <row r="5" spans="2:24" x14ac:dyDescent="0.3">
      <c r="D5" s="6"/>
    </row>
    <row r="6" spans="2:24" x14ac:dyDescent="0.3">
      <c r="B6" s="3" t="s">
        <v>280</v>
      </c>
      <c r="C6" s="7" t="s">
        <v>9</v>
      </c>
      <c r="D6" s="7" t="s">
        <v>10</v>
      </c>
      <c r="E6" s="132"/>
      <c r="F6" s="13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8" spans="2:24" x14ac:dyDescent="0.3">
      <c r="B8" s="148" t="s">
        <v>281</v>
      </c>
      <c r="C8" s="149" t="s">
        <v>9</v>
      </c>
      <c r="D8" s="149"/>
      <c r="E8" s="150"/>
      <c r="F8" s="150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10" spans="2:24" x14ac:dyDescent="0.3">
      <c r="B10" t="str">
        <f>+Supuestos!B26</f>
        <v>Power</v>
      </c>
      <c r="C10" s="6" t="s">
        <v>55</v>
      </c>
      <c r="I10" s="38">
        <f>+Supuestos!I26</f>
        <v>808.51</v>
      </c>
      <c r="J10" s="38">
        <f>+Supuestos!J26</f>
        <v>623.46</v>
      </c>
      <c r="K10" s="38">
        <f>+Supuestos!K26</f>
        <v>511.4</v>
      </c>
      <c r="L10" s="38">
        <f>+Supuestos!L26</f>
        <v>855.48114786648318</v>
      </c>
      <c r="M10" s="38">
        <f>+Supuestos!M26</f>
        <v>736.33053909911359</v>
      </c>
      <c r="N10" s="38">
        <f>+Supuestos!N26</f>
        <v>818.24529347579585</v>
      </c>
      <c r="O10" s="38">
        <f>+Supuestos!O26</f>
        <v>875.0982916829015</v>
      </c>
      <c r="P10" s="38">
        <f>+Supuestos!P26</f>
        <v>942.76791934009088</v>
      </c>
      <c r="Q10" s="38">
        <f>+Supuestos!Q26</f>
        <v>1076.0038746735331</v>
      </c>
      <c r="R10" s="38">
        <f>+Supuestos!R26</f>
        <v>1110.6379443902313</v>
      </c>
      <c r="S10" s="38">
        <f>+Supuestos!S26</f>
        <v>1974.2101970908957</v>
      </c>
      <c r="T10" s="38">
        <f>+Supuestos!T26</f>
        <v>2014.7633841155837</v>
      </c>
      <c r="U10" s="38">
        <f>+Supuestos!U26</f>
        <v>2047.8857808899556</v>
      </c>
      <c r="V10" s="38">
        <f>+Supuestos!V26</f>
        <v>2082.4250969918003</v>
      </c>
      <c r="W10" s="38">
        <f>+Supuestos!W26</f>
        <v>2117.7207407446963</v>
      </c>
      <c r="X10" s="38">
        <f>+Supuestos!X26</f>
        <v>2150.9931630075152</v>
      </c>
    </row>
    <row r="11" spans="2:24" x14ac:dyDescent="0.3">
      <c r="B11" t="str">
        <f>+Supuestos!B29</f>
        <v>Labor</v>
      </c>
      <c r="C11" s="6" t="s">
        <v>55</v>
      </c>
      <c r="I11" s="38">
        <f>+Supuestos!I29</f>
        <v>522.87</v>
      </c>
      <c r="J11" s="38">
        <f>+Supuestos!J29</f>
        <v>543.77</v>
      </c>
      <c r="K11" s="38">
        <f>+Supuestos!K29</f>
        <v>613.67999999999995</v>
      </c>
      <c r="L11" s="38">
        <f>+Supuestos!L29</f>
        <v>730.31584402158546</v>
      </c>
      <c r="M11" s="38">
        <f>+Supuestos!M29</f>
        <v>628.59814092006923</v>
      </c>
      <c r="N11" s="38">
        <f>+Supuestos!N29</f>
        <v>698.52796126692772</v>
      </c>
      <c r="O11" s="38">
        <f>+Supuestos!O29</f>
        <v>747.0628068030685</v>
      </c>
      <c r="P11" s="38">
        <f>+Supuestos!P29</f>
        <v>804.83170254125923</v>
      </c>
      <c r="Q11" s="38">
        <f>+Supuestos!Q29</f>
        <v>918.57392750558029</v>
      </c>
      <c r="R11" s="38">
        <f>+Supuestos!R29</f>
        <v>948.14069226729839</v>
      </c>
      <c r="S11" s="38">
        <f>+Supuestos!S29</f>
        <v>1685.3638329263129</v>
      </c>
      <c r="T11" s="38">
        <f>+Supuestos!T29</f>
        <v>1719.9836899314173</v>
      </c>
      <c r="U11" s="38">
        <f>+Supuestos!U29</f>
        <v>1748.2599543664912</v>
      </c>
      <c r="V11" s="38">
        <f>+Supuestos!V29</f>
        <v>1777.7458288989174</v>
      </c>
      <c r="W11" s="38">
        <f>+Supuestos!W29</f>
        <v>1807.8773729101065</v>
      </c>
      <c r="X11" s="38">
        <f>+Supuestos!X29</f>
        <v>1836.2817126294731</v>
      </c>
    </row>
    <row r="12" spans="2:24" x14ac:dyDescent="0.3">
      <c r="B12" t="str">
        <f>+Supuestos!B32</f>
        <v>Fuel</v>
      </c>
      <c r="C12" s="6" t="s">
        <v>55</v>
      </c>
      <c r="I12" s="38">
        <f>+Supuestos!I32</f>
        <v>813.36</v>
      </c>
      <c r="J12" s="38">
        <f>+Supuestos!J32</f>
        <v>735.97</v>
      </c>
      <c r="K12" s="38">
        <f>+Supuestos!K32</f>
        <v>715.96</v>
      </c>
      <c r="L12" s="38">
        <f>+Supuestos!L32</f>
        <v>990.6859288727378</v>
      </c>
      <c r="M12" s="38">
        <f>+Supuestos!M32</f>
        <v>852.70412551349341</v>
      </c>
      <c r="N12" s="38">
        <f>+Supuestos!N32</f>
        <v>947.56512242784174</v>
      </c>
      <c r="O12" s="38">
        <f>+Supuestos!O32</f>
        <v>1013.4034702143171</v>
      </c>
      <c r="P12" s="38">
        <f>+Supuestos!P32</f>
        <v>1091.7679649775587</v>
      </c>
      <c r="Q12" s="38">
        <f>+Supuestos!Q32</f>
        <v>1246.0612378310225</v>
      </c>
      <c r="R12" s="38">
        <f>+Supuestos!R32</f>
        <v>1286.1690597432892</v>
      </c>
      <c r="S12" s="38">
        <f>+Supuestos!S32</f>
        <v>2286.224854601091</v>
      </c>
      <c r="T12" s="38">
        <f>+Supuestos!T32</f>
        <v>2333.1872825359414</v>
      </c>
      <c r="U12" s="38">
        <f>+Supuestos!U32</f>
        <v>2371.5445186909938</v>
      </c>
      <c r="V12" s="38">
        <f>+Supuestos!V32</f>
        <v>2411.5426116242179</v>
      </c>
      <c r="W12" s="38">
        <f>+Supuestos!W32</f>
        <v>2452.4165662446144</v>
      </c>
      <c r="X12" s="38">
        <f>+Supuestos!X32</f>
        <v>2490.9475387125563</v>
      </c>
    </row>
    <row r="13" spans="2:24" x14ac:dyDescent="0.3">
      <c r="B13" t="str">
        <f>+Supuestos!B35</f>
        <v>Maintenance</v>
      </c>
      <c r="C13" s="6" t="s">
        <v>55</v>
      </c>
      <c r="I13" s="38">
        <f>+Supuestos!I35</f>
        <v>948.91</v>
      </c>
      <c r="J13" s="38">
        <f>+Supuestos!J35</f>
        <v>1003.17</v>
      </c>
      <c r="K13" s="38">
        <f>+Supuestos!K35</f>
        <v>1087.8900000000001</v>
      </c>
      <c r="L13" s="38">
        <f>+Supuestos!L35</f>
        <v>1322.6197187032622</v>
      </c>
      <c r="M13" s="38">
        <f>+Supuestos!M35</f>
        <v>1138.4064896400116</v>
      </c>
      <c r="N13" s="38">
        <f>+Supuestos!N35</f>
        <v>1265.051091524615</v>
      </c>
      <c r="O13" s="38">
        <f>+Supuestos!O35</f>
        <v>1352.9488747588227</v>
      </c>
      <c r="P13" s="38">
        <f>+Supuestos!P35</f>
        <v>1457.5697470245839</v>
      </c>
      <c r="Q13" s="38">
        <f>+Supuestos!Q35</f>
        <v>1663.5596770233462</v>
      </c>
      <c r="R13" s="38">
        <f>+Supuestos!R35</f>
        <v>1717.1058056089851</v>
      </c>
      <c r="S13" s="38">
        <f>+Supuestos!S35</f>
        <v>3052.2348061666421</v>
      </c>
      <c r="T13" s="38">
        <f>+Supuestos!T35</f>
        <v>3114.9322074464712</v>
      </c>
      <c r="U13" s="38">
        <f>+Supuestos!U35</f>
        <v>3166.1412086193818</v>
      </c>
      <c r="V13" s="38">
        <f>+Supuestos!V35</f>
        <v>3219.540843036521</v>
      </c>
      <c r="W13" s="38">
        <f>+Supuestos!W35</f>
        <v>3274.109800550465</v>
      </c>
      <c r="X13" s="38">
        <f>+Supuestos!X35</f>
        <v>3325.5507491716889</v>
      </c>
    </row>
    <row r="14" spans="2:24" x14ac:dyDescent="0.3">
      <c r="B14" t="str">
        <f>+Supuestos!B38</f>
        <v>Operating material</v>
      </c>
      <c r="C14" s="6" t="s">
        <v>55</v>
      </c>
      <c r="I14" s="38">
        <f>+Supuestos!I38</f>
        <v>973.12</v>
      </c>
      <c r="J14" s="38">
        <f>+Supuestos!J38</f>
        <v>918.79</v>
      </c>
      <c r="K14" s="38">
        <f>+Supuestos!K38</f>
        <v>883.33</v>
      </c>
      <c r="L14" s="38">
        <f>+Supuestos!L38</f>
        <v>1213.4833326838336</v>
      </c>
      <c r="M14" s="38">
        <f>+Supuestos!M38</f>
        <v>1044.4705167042798</v>
      </c>
      <c r="N14" s="38">
        <f>+Supuestos!N38</f>
        <v>1160.6649990548226</v>
      </c>
      <c r="O14" s="38">
        <f>+Supuestos!O38</f>
        <v>1241.3098687979884</v>
      </c>
      <c r="P14" s="38">
        <f>+Supuestos!P38</f>
        <v>1337.2979165717031</v>
      </c>
      <c r="Q14" s="38">
        <f>+Supuestos!Q38</f>
        <v>1526.290522094991</v>
      </c>
      <c r="R14" s="38">
        <f>+Supuestos!R38</f>
        <v>1575.4182748795358</v>
      </c>
      <c r="S14" s="38">
        <f>+Supuestos!S38</f>
        <v>2800.378682053863</v>
      </c>
      <c r="T14" s="38">
        <f>+Supuestos!T38</f>
        <v>2857.9025873607156</v>
      </c>
      <c r="U14" s="38">
        <f>+Supuestos!U38</f>
        <v>2904.8860615430294</v>
      </c>
      <c r="V14" s="38">
        <f>+Supuestos!V38</f>
        <v>2953.8794081719002</v>
      </c>
      <c r="W14" s="38">
        <f>+Supuestos!W38</f>
        <v>3003.9455908309837</v>
      </c>
      <c r="X14" s="38">
        <f>+Supuestos!X38</f>
        <v>3051.1418732442703</v>
      </c>
    </row>
    <row r="15" spans="2:24" x14ac:dyDescent="0.3">
      <c r="B15" t="str">
        <f>+Supuestos!B41</f>
        <v>Others</v>
      </c>
      <c r="C15" s="6" t="s">
        <v>55</v>
      </c>
      <c r="I15" s="38">
        <f>+Supuestos!I41</f>
        <v>774.62</v>
      </c>
      <c r="J15" s="38">
        <f>+Supuestos!J41</f>
        <v>862.54</v>
      </c>
      <c r="K15" s="38">
        <f>+Supuestos!K41</f>
        <v>832.19</v>
      </c>
      <c r="L15" s="38">
        <f>+Supuestos!L41</f>
        <v>1077.5109551240735</v>
      </c>
      <c r="M15" s="38">
        <f>+Supuestos!M41</f>
        <v>927.43624386161002</v>
      </c>
      <c r="N15" s="38">
        <f>+Supuestos!N41</f>
        <v>1030.6109841201157</v>
      </c>
      <c r="O15" s="38">
        <f>+Supuestos!O41</f>
        <v>1102.2194918617342</v>
      </c>
      <c r="P15" s="38">
        <f>+Supuestos!P41</f>
        <v>1187.4519546829588</v>
      </c>
      <c r="Q15" s="38">
        <f>+Supuestos!Q41</f>
        <v>1355.2676942188252</v>
      </c>
      <c r="R15" s="38">
        <f>+Supuestos!R41</f>
        <v>1398.8906187372011</v>
      </c>
      <c r="S15" s="38">
        <f>+Supuestos!S41</f>
        <v>2486.5926273048603</v>
      </c>
      <c r="T15" s="38">
        <f>+Supuestos!T41</f>
        <v>2537.6709045915932</v>
      </c>
      <c r="U15" s="38">
        <f>+Supuestos!U41</f>
        <v>2579.389819699612</v>
      </c>
      <c r="V15" s="38">
        <f>+Supuestos!V41</f>
        <v>2622.8933984459659</v>
      </c>
      <c r="W15" s="38">
        <f>+Supuestos!W41</f>
        <v>2667.3496005571992</v>
      </c>
      <c r="X15" s="38">
        <f>+Supuestos!X41</f>
        <v>2709.2574784585563</v>
      </c>
    </row>
    <row r="16" spans="2:24" x14ac:dyDescent="0.3">
      <c r="B16" s="8" t="s">
        <v>58</v>
      </c>
      <c r="C16" s="29" t="s">
        <v>55</v>
      </c>
      <c r="I16" s="38">
        <f>+Supuestos!I24</f>
        <v>4841.3999999999996</v>
      </c>
      <c r="J16" s="38">
        <f>+Supuestos!J24</f>
        <v>4687.7</v>
      </c>
      <c r="K16" s="38">
        <f>+Supuestos!K24</f>
        <v>4649.1000000000004</v>
      </c>
      <c r="L16" s="38">
        <f>+Supuestos!L24</f>
        <v>6190.0969272719758</v>
      </c>
      <c r="M16" s="38">
        <f>+Supuestos!M24</f>
        <v>5327.9460557385773</v>
      </c>
      <c r="N16" s="38">
        <f>+Supuestos!N24</f>
        <v>5920.6654518701189</v>
      </c>
      <c r="O16" s="38">
        <f>+Supuestos!O24</f>
        <v>6332.0428041188325</v>
      </c>
      <c r="P16" s="38">
        <f>+Supuestos!P24</f>
        <v>6821.6872051381552</v>
      </c>
      <c r="Q16" s="38">
        <f>+Supuestos!Q24</f>
        <v>7785.7569333472993</v>
      </c>
      <c r="R16" s="38">
        <f>+Supuestos!R24</f>
        <v>8036.362395626541</v>
      </c>
      <c r="S16" s="38">
        <f>+Supuestos!S24</f>
        <v>14285.005000143665</v>
      </c>
      <c r="T16" s="38">
        <f>+Supuestos!T24</f>
        <v>14578.440055981722</v>
      </c>
      <c r="U16" s="38">
        <f>+Supuestos!U24</f>
        <v>14818.107343809465</v>
      </c>
      <c r="V16" s="38">
        <f>+Supuestos!V24</f>
        <v>15068.027187169322</v>
      </c>
      <c r="W16" s="38">
        <f>+Supuestos!W24</f>
        <v>15323.419671838064</v>
      </c>
      <c r="X16" s="38">
        <f>+Supuestos!X24</f>
        <v>15564.17251522406</v>
      </c>
    </row>
    <row r="18" spans="2:24" x14ac:dyDescent="0.3">
      <c r="B18" s="3" t="s">
        <v>68</v>
      </c>
      <c r="C18" s="7" t="s">
        <v>9</v>
      </c>
      <c r="D18" s="7" t="s">
        <v>10</v>
      </c>
      <c r="E18" s="132"/>
      <c r="F18" s="13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20" spans="2:24" x14ac:dyDescent="0.3">
      <c r="B20" s="148" t="s">
        <v>282</v>
      </c>
      <c r="C20" s="149" t="s">
        <v>9</v>
      </c>
      <c r="D20" s="149"/>
      <c r="E20" s="150"/>
      <c r="F20" s="150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</row>
    <row r="22" spans="2:24" x14ac:dyDescent="0.3">
      <c r="B22" t="str">
        <f>+Supuestos!B49</f>
        <v>Selling, general and administrative (SGA)</v>
      </c>
      <c r="C22" s="6" t="str">
        <f>+Supuestos!C49</f>
        <v>Millones USD</v>
      </c>
      <c r="I22" s="38">
        <f>+Supuestos!I49</f>
        <v>125</v>
      </c>
      <c r="J22" s="38">
        <f>+Supuestos!J49</f>
        <v>127.2</v>
      </c>
      <c r="K22" s="38">
        <f>+Supuestos!K49</f>
        <v>130.5</v>
      </c>
      <c r="L22" s="38">
        <f>+Supuestos!L49</f>
        <v>173.13373359935417</v>
      </c>
      <c r="M22" s="38">
        <f>+Supuestos!M49</f>
        <v>149.01983020361243</v>
      </c>
      <c r="N22" s="38">
        <f>+Supuestos!N49</f>
        <v>165.59787788763046</v>
      </c>
      <c r="O22" s="38">
        <f>+Supuestos!O49</f>
        <v>177.10388461900246</v>
      </c>
      <c r="P22" s="38">
        <f>+Supuestos!P49</f>
        <v>190.79897926461331</v>
      </c>
      <c r="Q22" s="38">
        <f>+Supuestos!Q49</f>
        <v>217.76349911883207</v>
      </c>
      <c r="R22" s="38">
        <f>+Supuestos!R49</f>
        <v>224.77280121128231</v>
      </c>
      <c r="S22" s="38">
        <f>+Supuestos!S49</f>
        <v>399.54402640513769</v>
      </c>
      <c r="T22" s="38">
        <f>+Supuestos!T49</f>
        <v>407.75124955254114</v>
      </c>
      <c r="U22" s="38">
        <f>+Supuestos!U49</f>
        <v>414.45461669699313</v>
      </c>
      <c r="V22" s="38">
        <f>+Supuestos!V49</f>
        <v>421.4447423912813</v>
      </c>
      <c r="W22" s="38">
        <f>+Supuestos!W49</f>
        <v>428.58793496539209</v>
      </c>
      <c r="X22" s="38">
        <f>+Supuestos!X49</f>
        <v>435.32166452404175</v>
      </c>
    </row>
    <row r="23" spans="2:24" x14ac:dyDescent="0.3">
      <c r="B23" t="s">
        <v>68</v>
      </c>
      <c r="I23" s="38">
        <f>+I22</f>
        <v>125</v>
      </c>
      <c r="J23" s="38">
        <f t="shared" ref="J23:X23" si="0">+J22</f>
        <v>127.2</v>
      </c>
      <c r="K23" s="38">
        <f t="shared" si="0"/>
        <v>130.5</v>
      </c>
      <c r="L23" s="38">
        <f t="shared" si="0"/>
        <v>173.13373359935417</v>
      </c>
      <c r="M23" s="38">
        <f t="shared" si="0"/>
        <v>149.01983020361243</v>
      </c>
      <c r="N23" s="38">
        <f t="shared" si="0"/>
        <v>165.59787788763046</v>
      </c>
      <c r="O23" s="38">
        <f t="shared" si="0"/>
        <v>177.10388461900246</v>
      </c>
      <c r="P23" s="38">
        <f t="shared" si="0"/>
        <v>190.79897926461331</v>
      </c>
      <c r="Q23" s="38">
        <f t="shared" si="0"/>
        <v>217.76349911883207</v>
      </c>
      <c r="R23" s="38">
        <f t="shared" si="0"/>
        <v>224.77280121128231</v>
      </c>
      <c r="S23" s="38">
        <f t="shared" si="0"/>
        <v>399.54402640513769</v>
      </c>
      <c r="T23" s="38">
        <f t="shared" si="0"/>
        <v>407.75124955254114</v>
      </c>
      <c r="U23" s="38">
        <f t="shared" si="0"/>
        <v>414.45461669699313</v>
      </c>
      <c r="V23" s="38">
        <f t="shared" si="0"/>
        <v>421.4447423912813</v>
      </c>
      <c r="W23" s="38">
        <f t="shared" si="0"/>
        <v>428.58793496539209</v>
      </c>
      <c r="X23" s="38">
        <f t="shared" si="0"/>
        <v>435.32166452404175</v>
      </c>
    </row>
    <row r="25" spans="2:24" hidden="1" x14ac:dyDescent="0.3">
      <c r="B25" s="44" t="s">
        <v>283</v>
      </c>
      <c r="C25" s="45" t="s">
        <v>9</v>
      </c>
      <c r="D25" s="45"/>
      <c r="E25" s="132"/>
      <c r="F25" s="132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 spans="2:24" hidden="1" x14ac:dyDescent="0.3"/>
    <row r="27" spans="2:24" hidden="1" x14ac:dyDescent="0.3">
      <c r="B27" t="s">
        <v>284</v>
      </c>
      <c r="G27" s="83">
        <f>+((E16/1000)-('Ventas proyectadas'!G7-'Ventas proyectadas'!G12*'Ventas proyectadas'!G73))/('Ventas proyectadas'!G12)</f>
        <v>2.7963829951078094</v>
      </c>
      <c r="H27" s="83">
        <f>+((F16/1000)-('Ventas proyectadas'!H7-'Ventas proyectadas'!H12*'Ventas proyectadas'!H73))/('Ventas proyectadas'!H12)</f>
        <v>4.2248240946745561</v>
      </c>
      <c r="I27" s="83">
        <f>+((G16/1000)-('Ventas proyectadas'!I7-'Ventas proyectadas'!I12*'Ventas proyectadas'!I73))/('Ventas proyectadas'!I12)</f>
        <v>3.9949060076045626</v>
      </c>
      <c r="J27" s="83">
        <f>+((H16/1000)-('Ventas proyectadas'!J7-'Ventas proyectadas'!J12*'Ventas proyectadas'!J73))/('Ventas proyectadas'!J12)</f>
        <v>3.845072794264091</v>
      </c>
      <c r="K27" s="83">
        <f>+((I16/1000)-('Ventas proyectadas'!K7-'Ventas proyectadas'!K12*'Ventas proyectadas'!K73))/('Ventas proyectadas'!K12)</f>
        <v>4.1446769638565435</v>
      </c>
      <c r="L27" s="83">
        <f>+((J16/1000)-('Ventas proyectadas'!L7-'Ventas proyectadas'!L12*'Ventas proyectadas'!L73))/('Ventas proyectadas'!L12)</f>
        <v>4.9939528723778581</v>
      </c>
      <c r="M27" s="83">
        <f>+((K16/1000)-('Ventas proyectadas'!M7-'Ventas proyectadas'!M12*'Ventas proyectadas'!M73))/('Ventas proyectadas'!M12)</f>
        <v>3.9999469738969879</v>
      </c>
      <c r="N27" s="83">
        <f>+((L16/1000)-('Ventas proyectadas'!N7-'Ventas proyectadas'!N12*'Ventas proyectadas'!N73))/('Ventas proyectadas'!N12)</f>
        <v>4.2006345180626434</v>
      </c>
      <c r="O27" s="83">
        <f>+((M16/1000)-('Ventas proyectadas'!O7-'Ventas proyectadas'!O12*'Ventas proyectadas'!O73))/('Ventas proyectadas'!O12)</f>
        <v>4.1966568957255417</v>
      </c>
      <c r="P27" s="83">
        <f>+((N16/1000)-('Ventas proyectadas'!P7-'Ventas proyectadas'!P12*'Ventas proyectadas'!P73))/('Ventas proyectadas'!P12)</f>
        <v>4.2303039547877335</v>
      </c>
      <c r="Q27" s="83">
        <f>+((O16/1000)-('Ventas proyectadas'!Q7-'Ventas proyectadas'!Q12*'Ventas proyectadas'!Q73))/('Ventas proyectadas'!Q12)</f>
        <v>4.294440808707443</v>
      </c>
      <c r="R27" s="83">
        <f>+((P16/1000)-('Ventas proyectadas'!R7-'Ventas proyectadas'!R12*'Ventas proyectadas'!R73))/('Ventas proyectadas'!R12)</f>
        <v>4.3193642206846166</v>
      </c>
      <c r="S27" s="83">
        <f>+((Q16/1000)-('Ventas proyectadas'!S7-'Ventas proyectadas'!S12*'Ventas proyectadas'!S73))/('Ventas proyectadas'!S12)</f>
        <v>4.2041035493775736</v>
      </c>
      <c r="T27" s="83">
        <f>+((R16/1000)-('Ventas proyectadas'!T7-'Ventas proyectadas'!T12*'Ventas proyectadas'!T73))/('Ventas proyectadas'!T12)</f>
        <v>4.2386431738330357</v>
      </c>
      <c r="U27" s="83">
        <f>+((S16/1000)-('Ventas proyectadas'!U7-'Ventas proyectadas'!U12*'Ventas proyectadas'!U73))/('Ventas proyectadas'!U12)</f>
        <v>4.2454965121138386</v>
      </c>
      <c r="V27" s="83">
        <f>+((T16/1000)-('Ventas proyectadas'!V7-'Ventas proyectadas'!V12*'Ventas proyectadas'!V73))/('Ventas proyectadas'!V12)</f>
        <v>4.2541486477631469</v>
      </c>
    </row>
    <row r="28" spans="2:24" hidden="1" x14ac:dyDescent="0.3">
      <c r="B28" t="s">
        <v>285</v>
      </c>
    </row>
    <row r="29" spans="2:24" hidden="1" x14ac:dyDescent="0.3">
      <c r="B29" t="s">
        <v>286</v>
      </c>
    </row>
    <row r="30" spans="2:24" hidden="1" x14ac:dyDescent="0.3">
      <c r="B30" t="s">
        <v>287</v>
      </c>
    </row>
    <row r="31" spans="2:24" hidden="1" x14ac:dyDescent="0.3">
      <c r="B31" t="s">
        <v>288</v>
      </c>
    </row>
    <row r="32" spans="2:24" hidden="1" x14ac:dyDescent="0.3"/>
    <row r="33" spans="2:24" hidden="1" x14ac:dyDescent="0.3"/>
    <row r="34" spans="2:24" hidden="1" x14ac:dyDescent="0.3"/>
    <row r="35" spans="2:24" x14ac:dyDescent="0.3">
      <c r="B35" s="3" t="s">
        <v>72</v>
      </c>
      <c r="C35" s="7" t="s">
        <v>9</v>
      </c>
      <c r="D35" s="7" t="s">
        <v>10</v>
      </c>
      <c r="E35" s="132"/>
      <c r="F35" s="13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7" spans="2:24" x14ac:dyDescent="0.3">
      <c r="B37" s="148" t="s">
        <v>289</v>
      </c>
      <c r="C37" s="149" t="s">
        <v>9</v>
      </c>
      <c r="D37" s="149"/>
      <c r="E37" s="150"/>
      <c r="F37" s="150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</row>
    <row r="39" spans="2:24" x14ac:dyDescent="0.3">
      <c r="B39" s="70" t="s">
        <v>72</v>
      </c>
    </row>
    <row r="40" spans="2:24" x14ac:dyDescent="0.3">
      <c r="B40" t="s">
        <v>290</v>
      </c>
      <c r="C40" s="29" t="s">
        <v>55</v>
      </c>
      <c r="I40" s="38">
        <f>+Supuestos!I60</f>
        <v>756</v>
      </c>
      <c r="J40" s="38">
        <f>+Supuestos!J60</f>
        <v>632</v>
      </c>
      <c r="K40" s="38">
        <f>+Supuestos!K60</f>
        <v>523</v>
      </c>
      <c r="L40" s="38">
        <f>+Supuestos!L60</f>
        <v>4067.504369600294</v>
      </c>
      <c r="M40" s="38">
        <f>+Supuestos!M60</f>
        <v>-3505.8634275088334</v>
      </c>
      <c r="N40" s="38">
        <f>+Supuestos!N60</f>
        <v>2410.243174697287</v>
      </c>
      <c r="O40" s="38">
        <f>+Supuestos!O60</f>
        <v>1672.8311270962004</v>
      </c>
      <c r="P40" s="38">
        <f>+Supuestos!P60</f>
        <v>1991.0974455839314</v>
      </c>
      <c r="Q40" s="38">
        <f>+Supuestos!Q60</f>
        <v>3920.3078176855852</v>
      </c>
      <c r="R40" s="38">
        <f>+Supuestos!R60</f>
        <v>1019.065866483561</v>
      </c>
      <c r="S40" s="38">
        <f>+Supuestos!S60</f>
        <v>25409.575402721734</v>
      </c>
      <c r="T40" s="38">
        <f>+Supuestos!T60</f>
        <v>1193.2287776754893</v>
      </c>
      <c r="U40" s="38">
        <f>+Supuestos!U60</f>
        <v>974.5867073950576</v>
      </c>
      <c r="V40" s="38">
        <f>+Supuestos!V60</f>
        <v>1016.2778552734089</v>
      </c>
      <c r="W40" s="38">
        <f>+Supuestos!W60</f>
        <v>1038.5318871954223</v>
      </c>
      <c r="X40" s="38">
        <f>+Supuestos!X60</f>
        <v>979.00102704126766</v>
      </c>
    </row>
    <row r="41" spans="2:24" x14ac:dyDescent="0.3">
      <c r="B41" t="s">
        <v>291</v>
      </c>
      <c r="C41" s="29" t="s">
        <v>55</v>
      </c>
      <c r="I41" s="38">
        <f>+Supuestos!H63</f>
        <v>-5</v>
      </c>
      <c r="J41" s="38">
        <f>+Supuestos!I63</f>
        <v>-3</v>
      </c>
      <c r="K41" s="38">
        <f>+Supuestos!J63</f>
        <v>-5</v>
      </c>
      <c r="L41" s="38">
        <f>+Supuestos!K63</f>
        <v>-5</v>
      </c>
      <c r="M41" s="38">
        <f>+Supuestos!L63</f>
        <v>45.487467490560846</v>
      </c>
      <c r="N41" s="38">
        <f>+Supuestos!M63</f>
        <v>-27.399037213640753</v>
      </c>
      <c r="O41" s="38">
        <f>+Supuestos!N63</f>
        <v>11.803580145443362</v>
      </c>
      <c r="P41" s="38">
        <f>+Supuestos!O63</f>
        <v>15.143241197299091</v>
      </c>
      <c r="Q41" s="38">
        <f>+Supuestos!P63</f>
        <v>11.582169325113512</v>
      </c>
      <c r="R41" s="38">
        <f>+Supuestos!Q63</f>
        <v>25.063093935708224</v>
      </c>
      <c r="S41" s="38">
        <f>+Supuestos!R63</f>
        <v>7.6831644712773368</v>
      </c>
      <c r="T41" s="38">
        <f>+Supuestos!S63</f>
        <v>165.82566872072704</v>
      </c>
      <c r="U41" s="38">
        <f>+Supuestos!T63</f>
        <v>7.7661174439562046</v>
      </c>
      <c r="V41" s="38">
        <f>+Supuestos!U63</f>
        <v>6.7020190619605842</v>
      </c>
      <c r="W41" s="38">
        <f>+Supuestos!V63</f>
        <v>6.4515233474535307</v>
      </c>
      <c r="X41" s="38">
        <f>+Supuestos!W63</f>
        <v>6.8255861592817269</v>
      </c>
    </row>
    <row r="42" spans="2:24" x14ac:dyDescent="0.3">
      <c r="B42" s="8" t="s">
        <v>292</v>
      </c>
      <c r="C42" s="29" t="s">
        <v>55</v>
      </c>
      <c r="I42" s="38">
        <f>+I40+I41</f>
        <v>751</v>
      </c>
      <c r="J42" s="38">
        <f t="shared" ref="J42:X42" si="1">+J40+J41</f>
        <v>629</v>
      </c>
      <c r="K42" s="38">
        <f t="shared" si="1"/>
        <v>518</v>
      </c>
      <c r="L42" s="38">
        <f t="shared" si="1"/>
        <v>4062.504369600294</v>
      </c>
      <c r="M42" s="38">
        <f t="shared" si="1"/>
        <v>-3460.3759600182725</v>
      </c>
      <c r="N42" s="38">
        <f t="shared" si="1"/>
        <v>2382.8441374836461</v>
      </c>
      <c r="O42" s="38">
        <f t="shared" si="1"/>
        <v>1684.6347072416438</v>
      </c>
      <c r="P42" s="38">
        <f t="shared" si="1"/>
        <v>2006.2406867812306</v>
      </c>
      <c r="Q42" s="38">
        <f t="shared" si="1"/>
        <v>3931.8899870106989</v>
      </c>
      <c r="R42" s="38">
        <f t="shared" si="1"/>
        <v>1044.1289604192691</v>
      </c>
      <c r="S42" s="38">
        <f t="shared" si="1"/>
        <v>25417.25856719301</v>
      </c>
      <c r="T42" s="38">
        <f t="shared" si="1"/>
        <v>1359.0544463962162</v>
      </c>
      <c r="U42" s="38">
        <f t="shared" si="1"/>
        <v>982.35282483901381</v>
      </c>
      <c r="V42" s="38">
        <f t="shared" si="1"/>
        <v>1022.9798743353695</v>
      </c>
      <c r="W42" s="38">
        <f t="shared" si="1"/>
        <v>1044.9834105428758</v>
      </c>
      <c r="X42" s="38">
        <f t="shared" si="1"/>
        <v>985.82661320054945</v>
      </c>
    </row>
    <row r="43" spans="2:24" s="30" customFormat="1" x14ac:dyDescent="0.3">
      <c r="B43" s="30" t="s">
        <v>265</v>
      </c>
      <c r="C43" s="31"/>
      <c r="I43" s="33">
        <f>+I42/Supuestos!I19</f>
        <v>7.4741985887598408E-2</v>
      </c>
      <c r="J43" s="33">
        <f>+J42/Supuestos!J19</f>
        <v>6.3562319367812606E-2</v>
      </c>
      <c r="K43" s="33">
        <f>+K42/Supuestos!K19</f>
        <v>4.5305858274878867E-2</v>
      </c>
      <c r="L43" s="33">
        <f>+L42/Supuestos!L19</f>
        <v>0.29790243277338663</v>
      </c>
      <c r="M43" s="33">
        <f>+M42/Supuestos!M19</f>
        <v>-0.29480926317724926</v>
      </c>
      <c r="N43" s="33">
        <f>+N42/Supuestos!N19</f>
        <v>0.18268495065322379</v>
      </c>
      <c r="O43" s="33">
        <f>+O42/Supuestos!O19</f>
        <v>0.12076457576176065</v>
      </c>
      <c r="P43" s="33">
        <f>+P42/Supuestos!P19</f>
        <v>0.13349619583917147</v>
      </c>
      <c r="Q43" s="33">
        <f>+Q42/Supuestos!Q19</f>
        <v>0.22923354724890926</v>
      </c>
      <c r="R43" s="33">
        <f>+R42/Supuestos!R19</f>
        <v>5.8975589015520927E-2</v>
      </c>
      <c r="S43" s="33">
        <f>+S42/Supuestos!S19</f>
        <v>0.80765515320692582</v>
      </c>
      <c r="T43" s="33">
        <f>+T42/Supuestos!T19</f>
        <v>4.2315887952078586E-2</v>
      </c>
      <c r="U43" s="33">
        <f>+U42/Supuestos!U19</f>
        <v>3.0092094706602925E-2</v>
      </c>
      <c r="V43" s="33">
        <f>+V42/Supuestos!V19</f>
        <v>3.081685768158908E-2</v>
      </c>
      <c r="W43" s="33">
        <f>+W42/Supuestos!W19</f>
        <v>3.0955039181846732E-2</v>
      </c>
      <c r="X43" s="33">
        <f>+X42/Supuestos!X19</f>
        <v>2.8750947415275632E-2</v>
      </c>
    </row>
    <row r="45" spans="2:24" x14ac:dyDescent="0.3">
      <c r="B45" s="70" t="s">
        <v>82</v>
      </c>
    </row>
    <row r="46" spans="2:24" x14ac:dyDescent="0.3">
      <c r="B46" t="s">
        <v>293</v>
      </c>
      <c r="C46" s="29" t="s">
        <v>55</v>
      </c>
      <c r="I46" s="38">
        <f>+Supuestos!G73</f>
        <v>8177</v>
      </c>
      <c r="J46" s="38">
        <f>+Supuestos!H73</f>
        <v>8812</v>
      </c>
      <c r="K46" s="38">
        <f>+Supuestos!I73</f>
        <v>9501</v>
      </c>
      <c r="L46" s="38">
        <f>+Supuestos!J73</f>
        <v>10003</v>
      </c>
      <c r="M46" s="38">
        <f>+Supuestos!K73</f>
        <v>10481</v>
      </c>
      <c r="N46" s="38">
        <f>+Supuestos!L73</f>
        <v>11243.788183981891</v>
      </c>
      <c r="O46" s="38">
        <f>+Supuestos!M73</f>
        <v>11900.335947928035</v>
      </c>
      <c r="P46" s="38">
        <f>+Supuestos!N73</f>
        <v>12629.922851179752</v>
      </c>
      <c r="Q46" s="38">
        <f>+Supuestos!O73</f>
        <v>13410.202625179676</v>
      </c>
      <c r="R46" s="38">
        <f>+Supuestos!P73</f>
        <v>14250.819897580459</v>
      </c>
      <c r="S46" s="38">
        <f>+Supuestos!Q73</f>
        <v>15210.236763243291</v>
      </c>
      <c r="T46" s="38">
        <f>+Supuestos!R73</f>
        <v>16200.535033141608</v>
      </c>
      <c r="U46" s="38">
        <f>+Supuestos!S73</f>
        <v>17960.835905689328</v>
      </c>
      <c r="V46" s="38">
        <f>+Supuestos!T73</f>
        <v>19757.295952477631</v>
      </c>
      <c r="W46" s="38">
        <f>+Supuestos!U73</f>
        <v>21583.289523117</v>
      </c>
      <c r="X46" s="38">
        <f>+Supuestos!V73</f>
        <v>23440.08001110634</v>
      </c>
    </row>
    <row r="47" spans="2:24" x14ac:dyDescent="0.3">
      <c r="B47" t="s">
        <v>294</v>
      </c>
      <c r="C47" s="29" t="s">
        <v>55</v>
      </c>
      <c r="I47" s="38">
        <f>+Supuestos!G74</f>
        <v>686</v>
      </c>
      <c r="J47" s="38">
        <f>+Supuestos!H74</f>
        <v>635</v>
      </c>
      <c r="K47" s="38">
        <f>+Supuestos!I74</f>
        <v>689</v>
      </c>
      <c r="L47" s="38">
        <f>+Supuestos!J74</f>
        <v>502</v>
      </c>
      <c r="M47" s="38">
        <f>+Supuestos!K74</f>
        <v>478</v>
      </c>
      <c r="N47" s="38">
        <f>+Supuestos!L74</f>
        <v>762.78818398189094</v>
      </c>
      <c r="O47" s="38">
        <f>+Supuestos!M74</f>
        <v>656.54776394614339</v>
      </c>
      <c r="P47" s="38">
        <f>+Supuestos!N74</f>
        <v>729.58690325171699</v>
      </c>
      <c r="Q47" s="38">
        <f>+Supuestos!O74</f>
        <v>780.2797739999246</v>
      </c>
      <c r="R47" s="38">
        <f>+Supuestos!P74</f>
        <v>840.61727240078267</v>
      </c>
      <c r="S47" s="38">
        <f>+Supuestos!Q74</f>
        <v>959.41686566283136</v>
      </c>
      <c r="T47" s="38">
        <f>+Supuestos!R74</f>
        <v>990.29826989831736</v>
      </c>
      <c r="U47" s="38">
        <f>+Supuestos!S74</f>
        <v>1760.30087254772</v>
      </c>
      <c r="V47" s="38">
        <f>+Supuestos!T74</f>
        <v>1796.4600467883047</v>
      </c>
      <c r="W47" s="38">
        <f>+Supuestos!U74</f>
        <v>1825.9935706393694</v>
      </c>
      <c r="X47" s="38">
        <f>+Supuestos!V74</f>
        <v>1856.7904879893404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Supuestos</vt:lpstr>
      <vt:lpstr>Ventas proyectadas</vt:lpstr>
      <vt:lpstr>Fin. Statement</vt:lpstr>
      <vt:lpstr>DCF</vt:lpstr>
      <vt:lpstr>WACC</vt:lpstr>
      <vt:lpstr>WK</vt:lpstr>
      <vt:lpstr>OPEX-CAPEX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Gabriel Caballero Reyes</dc:creator>
  <cp:keywords/>
  <dc:description/>
  <cp:lastModifiedBy>Carlos Gabriel Caballero Reyes</cp:lastModifiedBy>
  <cp:revision/>
  <dcterms:created xsi:type="dcterms:W3CDTF">2025-07-13T09:09:14Z</dcterms:created>
  <dcterms:modified xsi:type="dcterms:W3CDTF">2025-07-15T04:53:49Z</dcterms:modified>
  <cp:category/>
  <cp:contentStatus/>
</cp:coreProperties>
</file>