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948\Documents\1. CLASES\2. CONCURSOS\VALUATION CHALLENGE\"/>
    </mc:Choice>
  </mc:AlternateContent>
  <xr:revisionPtr revIDLastSave="0" documentId="13_ncr:1_{767F5DE6-83C6-4D82-A572-0D96764181C9}" xr6:coauthVersionLast="47" xr6:coauthVersionMax="47" xr10:uidLastSave="{00000000-0000-0000-0000-000000000000}"/>
  <bookViews>
    <workbookView xWindow="-108" yWindow="-108" windowWidth="23256" windowHeight="12456" xr2:uid="{26AD295B-7311-40B0-BDDD-0386E05F0BC6}"/>
  </bookViews>
  <sheets>
    <sheet name="Income Statement" sheetId="1" r:id="rId1"/>
    <sheet name="Balance Sheet" sheetId="2" r:id="rId2"/>
    <sheet name="Cash Flow" sheetId="3" r:id="rId3"/>
    <sheet name="Reconciliation" sheetId="4" r:id="rId4"/>
    <sheet name="SBC&amp;Amortization" sheetId="5" r:id="rId5"/>
    <sheet name="Ratios" sheetId="6" r:id="rId6"/>
    <sheet name="Overview" sheetId="7" r:id="rId7"/>
    <sheet name="Peers" sheetId="8" r:id="rId8"/>
    <sheet name="Ratings" sheetId="10" r:id="rId9"/>
  </sheets>
  <definedNames>
    <definedName name="CURRENCY">#REF!</definedName>
    <definedName name="Lang">#REF!</definedName>
    <definedName name="newPeersRatio">#REF!</definedName>
    <definedName name="newPerio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1" l="1"/>
</calcChain>
</file>

<file path=xl/sharedStrings.xml><?xml version="1.0" encoding="utf-8"?>
<sst xmlns="http://schemas.openxmlformats.org/spreadsheetml/2006/main" count="1549" uniqueCount="508">
  <si>
    <t>Income Statement</t>
  </si>
  <si>
    <t>2025 Q1</t>
  </si>
  <si>
    <t>2024 Q4</t>
  </si>
  <si>
    <t>2024 Q3</t>
  </si>
  <si>
    <t>2024 Q2</t>
  </si>
  <si>
    <t>2024 Q1</t>
  </si>
  <si>
    <t>2023 Q4</t>
  </si>
  <si>
    <t>2023 Q3</t>
  </si>
  <si>
    <t>2023 Q2</t>
  </si>
  <si>
    <t>2023 Q1</t>
  </si>
  <si>
    <t>2022 Q4</t>
  </si>
  <si>
    <t>2022 Q3</t>
  </si>
  <si>
    <t>2022 Q2</t>
  </si>
  <si>
    <t>2022 Q1</t>
  </si>
  <si>
    <t>2021 Q4</t>
  </si>
  <si>
    <t>2021 Q3</t>
  </si>
  <si>
    <t>2021 Q2</t>
  </si>
  <si>
    <t>2021 Q1</t>
  </si>
  <si>
    <t>2020 Q4</t>
  </si>
  <si>
    <t>2020 Q3</t>
  </si>
  <si>
    <t>2020 Q2</t>
  </si>
  <si>
    <t>Right click line item for description; Adjusted Financials available from 2009 Q1</t>
  </si>
  <si>
    <t>-0FQ</t>
  </si>
  <si>
    <t>-1FQ</t>
  </si>
  <si>
    <t>-2FQ</t>
  </si>
  <si>
    <t>-3FQ</t>
  </si>
  <si>
    <t>-4FQ</t>
  </si>
  <si>
    <t>-5FQ</t>
  </si>
  <si>
    <t>-6FQ</t>
  </si>
  <si>
    <t>-7FQ</t>
  </si>
  <si>
    <t>-8FQ</t>
  </si>
  <si>
    <t>-9FQ</t>
  </si>
  <si>
    <t>-10FQ</t>
  </si>
  <si>
    <t>-11FQ</t>
  </si>
  <si>
    <t>-12FQ</t>
  </si>
  <si>
    <t>-13FQ</t>
  </si>
  <si>
    <t>-14FQ</t>
  </si>
  <si>
    <t>-15FQ</t>
  </si>
  <si>
    <t>-16FQ</t>
  </si>
  <si>
    <t>-17FQ</t>
  </si>
  <si>
    <t>-18FQ</t>
  </si>
  <si>
    <t>-19FQ</t>
  </si>
  <si>
    <t>Revenue</t>
  </si>
  <si>
    <t xml:space="preserve">    + Sales &amp; Services Revenue</t>
  </si>
  <si>
    <t xml:space="preserve">  - Cost of Revenue</t>
  </si>
  <si>
    <t xml:space="preserve">    + Cost of Goods &amp; Services</t>
  </si>
  <si>
    <t>Gross Profit</t>
  </si>
  <si>
    <t xml:space="preserve">  + Other Operating Income</t>
  </si>
  <si>
    <t xml:space="preserve">  - Operating Expenses</t>
  </si>
  <si>
    <t xml:space="preserve">    + Selling, General &amp; Admin</t>
  </si>
  <si>
    <t xml:space="preserve">    + Research &amp; Development</t>
  </si>
  <si>
    <t/>
  </si>
  <si>
    <t xml:space="preserve">    + Depreciation &amp; Amortization</t>
  </si>
  <si>
    <t xml:space="preserve">    + Other Operating Expense</t>
  </si>
  <si>
    <t>Operating Income (Loss)</t>
  </si>
  <si>
    <t xml:space="preserve">  - Non-Operating (Income) Loss</t>
  </si>
  <si>
    <t xml:space="preserve">    + Interest Expense, Net</t>
  </si>
  <si>
    <t xml:space="preserve">    + Interest Expense</t>
  </si>
  <si>
    <t xml:space="preserve">    - Interest Income</t>
  </si>
  <si>
    <t xml:space="preserve">    + Other Non-Op (Income) Loss</t>
  </si>
  <si>
    <t>Pretax Income (Loss), Adjusted</t>
  </si>
  <si>
    <t xml:space="preserve">  - Abnormal Losses (Gains)</t>
  </si>
  <si>
    <t xml:space="preserve">    + Other Abnormal Items</t>
  </si>
  <si>
    <t>Pretax Income (Loss), GAAP</t>
  </si>
  <si>
    <t xml:space="preserve">  - Income Tax Expense (Benefit), GAAP</t>
  </si>
  <si>
    <t xml:space="preserve">  - (Income) Loss from Affiliates, GAAP</t>
  </si>
  <si>
    <t>Income (Loss) from Cont Ops, GAAP</t>
  </si>
  <si>
    <t xml:space="preserve">  - Net Extraordinary Losses (Gains), GAAP</t>
  </si>
  <si>
    <t xml:space="preserve">    + Discontinued Operations, GAAP</t>
  </si>
  <si>
    <t xml:space="preserve">    + XO &amp; Accounting Changes, GAAP</t>
  </si>
  <si>
    <t>Income (Loss) Incl. MI, GAAP</t>
  </si>
  <si>
    <t xml:space="preserve">  - Minority Interest, GAAP</t>
  </si>
  <si>
    <t>Net Income, GAAP</t>
  </si>
  <si>
    <t xml:space="preserve">  - Preferred Dividends, GAAP</t>
  </si>
  <si>
    <t xml:space="preserve">  - Other Adjustments, GAAP</t>
  </si>
  <si>
    <t>Net Income Avail to Common, GAAP</t>
  </si>
  <si>
    <t>Net Income Avail to Common, Adj</t>
  </si>
  <si>
    <t xml:space="preserve">  Net Abnormal Losses (Gains)</t>
  </si>
  <si>
    <t xml:space="preserve">  Net Extraordinary Losses (Gains)</t>
  </si>
  <si>
    <t>Basic Weighted Avg Shares</t>
  </si>
  <si>
    <t>Basic EPS, GAAP</t>
  </si>
  <si>
    <t>Basic EPS from Cont Ops</t>
  </si>
  <si>
    <t>Basic EPS from Cont Ops, Adjusted</t>
  </si>
  <si>
    <t>Diluted Weighted Avg Shares</t>
  </si>
  <si>
    <t>Diluted EPS, GAAP</t>
  </si>
  <si>
    <t>Diluted EPS from Cont Ops</t>
  </si>
  <si>
    <t>Diluted EPS from Cont Ops, Adjusted</t>
  </si>
  <si>
    <t>Reference Items</t>
  </si>
  <si>
    <t>Accounting Standard</t>
  </si>
  <si>
    <t>EBITDA</t>
  </si>
  <si>
    <t>EBITDA Margin (T12M)</t>
  </si>
  <si>
    <t>EBITA</t>
  </si>
  <si>
    <t>EBIT</t>
  </si>
  <si>
    <t>Gross Margin</t>
  </si>
  <si>
    <t>Operating Margin</t>
  </si>
  <si>
    <t>Profit Margin</t>
  </si>
  <si>
    <t>Revenue Per Employee</t>
  </si>
  <si>
    <t>Dividends per Share</t>
  </si>
  <si>
    <t>Total Cash Common Dividends</t>
  </si>
  <si>
    <t>Capitalized Interest Expense</t>
  </si>
  <si>
    <t>Depreciation Expense</t>
  </si>
  <si>
    <t>Rental Expense</t>
  </si>
  <si>
    <t>Balance Sheet</t>
  </si>
  <si>
    <t>Right click line item for description</t>
  </si>
  <si>
    <t>Total Assets</t>
  </si>
  <si>
    <t xml:space="preserve">  + Cash, Cash Equivalents &amp; STI</t>
  </si>
  <si>
    <t xml:space="preserve">    + Cash &amp; Cash Equivalents</t>
  </si>
  <si>
    <t xml:space="preserve">    + ST Investments</t>
  </si>
  <si>
    <t xml:space="preserve">  + Accounts &amp; Notes Receiv</t>
  </si>
  <si>
    <t xml:space="preserve">    + Accounts Receivable, Net</t>
  </si>
  <si>
    <t xml:space="preserve">    + Notes Receivable, Net</t>
  </si>
  <si>
    <t xml:space="preserve">  + Inventories</t>
  </si>
  <si>
    <t xml:space="preserve">    + Raw Materials</t>
  </si>
  <si>
    <t xml:space="preserve">    + Work In Process</t>
  </si>
  <si>
    <t xml:space="preserve">    + Finished Goods</t>
  </si>
  <si>
    <t xml:space="preserve">    + Other Inventory</t>
  </si>
  <si>
    <t xml:space="preserve">  + Other ST Assets</t>
  </si>
  <si>
    <t xml:space="preserve">    + Prepaid Expenses</t>
  </si>
  <si>
    <t xml:space="preserve">    + Derivative &amp; Hedging Assets</t>
  </si>
  <si>
    <t xml:space="preserve">    + Misc ST Assets</t>
  </si>
  <si>
    <t>Total Current Assets</t>
  </si>
  <si>
    <t xml:space="preserve">  + Property, Plant &amp; Equip, Net</t>
  </si>
  <si>
    <t xml:space="preserve">    + Property, Plant &amp; Equip</t>
  </si>
  <si>
    <t xml:space="preserve">    - Accumulated Depreciation</t>
  </si>
  <si>
    <t xml:space="preserve">  + LT Investments &amp; Receivables</t>
  </si>
  <si>
    <t xml:space="preserve">    + LT Investments</t>
  </si>
  <si>
    <t xml:space="preserve">  + Other LT Assets</t>
  </si>
  <si>
    <t xml:space="preserve">    + Total Intangible Assets</t>
  </si>
  <si>
    <t xml:space="preserve">    + Goodwill</t>
  </si>
  <si>
    <t xml:space="preserve">    + Other Intangible Assets</t>
  </si>
  <si>
    <t xml:space="preserve">    + Deferred Tax Assets</t>
  </si>
  <si>
    <t xml:space="preserve">    + Prepaid Pension Costs</t>
  </si>
  <si>
    <t xml:space="preserve">    + Misc LT Assets</t>
  </si>
  <si>
    <t>Total Noncurrent Assets</t>
  </si>
  <si>
    <t>Liabilities &amp; Shareholders' Equity</t>
  </si>
  <si>
    <t xml:space="preserve">  + Payables &amp; Accruals</t>
  </si>
  <si>
    <t xml:space="preserve">    + Accounts Payable</t>
  </si>
  <si>
    <t xml:space="preserve">    + Accrued Taxes</t>
  </si>
  <si>
    <t xml:space="preserve">    + Interest &amp; Dividends Payable</t>
  </si>
  <si>
    <t xml:space="preserve">    + Other Payables &amp; Accruals</t>
  </si>
  <si>
    <t xml:space="preserve">  + ST Debt</t>
  </si>
  <si>
    <t xml:space="preserve">    + ST Borrowings</t>
  </si>
  <si>
    <t xml:space="preserve">    + ST Capital Leases</t>
  </si>
  <si>
    <t xml:space="preserve">    + Current Portion of LT Debt</t>
  </si>
  <si>
    <t xml:space="preserve">  + Other ST Liabilities</t>
  </si>
  <si>
    <t xml:space="preserve">    + Deferred Revenue</t>
  </si>
  <si>
    <t xml:space="preserve">    + Derivatives &amp; Hedging</t>
  </si>
  <si>
    <t xml:space="preserve">    + Misc ST Liabilities</t>
  </si>
  <si>
    <t>Total Current Liabilities</t>
  </si>
  <si>
    <t xml:space="preserve">  + LT Debt</t>
  </si>
  <si>
    <t xml:space="preserve">    + LT Borrowings</t>
  </si>
  <si>
    <t xml:space="preserve">    + LT Capital Leases</t>
  </si>
  <si>
    <t xml:space="preserve">  + Other LT Liabilities</t>
  </si>
  <si>
    <t xml:space="preserve">    + Accrued Liabilities</t>
  </si>
  <si>
    <t xml:space="preserve">    + Pension Liabilities</t>
  </si>
  <si>
    <t xml:space="preserve">    + Deferred Tax Liabilities</t>
  </si>
  <si>
    <t xml:space="preserve">    + Misc LT Liabilities</t>
  </si>
  <si>
    <t>Total Noncurrent Liabilities</t>
  </si>
  <si>
    <t>Total Liabilities</t>
  </si>
  <si>
    <t xml:space="preserve">  + Preferred Equity</t>
  </si>
  <si>
    <t xml:space="preserve">  + Share Capital &amp; APIC</t>
  </si>
  <si>
    <t xml:space="preserve">    + Common Stock</t>
  </si>
  <si>
    <t xml:space="preserve">    + Additional Paid in Capital</t>
  </si>
  <si>
    <t xml:space="preserve">  - Treasury Stock</t>
  </si>
  <si>
    <t xml:space="preserve">  + Retained Earnings</t>
  </si>
  <si>
    <t xml:space="preserve">  + Other Equity</t>
  </si>
  <si>
    <t>Equity Before Minority Interest</t>
  </si>
  <si>
    <t xml:space="preserve">  + Minority Interest</t>
  </si>
  <si>
    <t>Total Equity</t>
  </si>
  <si>
    <t>Total Liabilities &amp; Equity</t>
  </si>
  <si>
    <t>Shares Outstanding</t>
  </si>
  <si>
    <t>Number of Treasury Shares</t>
  </si>
  <si>
    <t>Pension Obligations</t>
  </si>
  <si>
    <t>Future Minimum Operating Lease Obligations</t>
  </si>
  <si>
    <t>Capital Leases - Total</t>
  </si>
  <si>
    <t>Options Granted During Period</t>
  </si>
  <si>
    <t>Options Outstanding at Period End</t>
  </si>
  <si>
    <t>Net Debt</t>
  </si>
  <si>
    <t>Net Debt to Equity</t>
  </si>
  <si>
    <t>Tangible Common Equity Ratio</t>
  </si>
  <si>
    <t>Current Ratio</t>
  </si>
  <si>
    <t>Cash Conversion Cycle</t>
  </si>
  <si>
    <t>Number of Employees</t>
  </si>
  <si>
    <t>Cash Flow</t>
  </si>
  <si>
    <t>Cash from Operating Activities</t>
  </si>
  <si>
    <t xml:space="preserve">  + Net Income</t>
  </si>
  <si>
    <t xml:space="preserve">  + Depreciation &amp; Amortization</t>
  </si>
  <si>
    <t xml:space="preserve">  + Non-Cash Items</t>
  </si>
  <si>
    <t xml:space="preserve">    + Deferred Income Taxes</t>
  </si>
  <si>
    <t xml:space="preserve">    + Other Non-Cash Adj</t>
  </si>
  <si>
    <t xml:space="preserve">  + Chg in Working Capital</t>
  </si>
  <si>
    <t xml:space="preserve">    + (Inc) Dec in Accts Receiv</t>
  </si>
  <si>
    <t xml:space="preserve">    + (Inc) Dec in Inventories</t>
  </si>
  <si>
    <t xml:space="preserve">    + Inc (Dec) in Other</t>
  </si>
  <si>
    <t xml:space="preserve">  + Net Cash From Disc Ops</t>
  </si>
  <si>
    <t>Cash from Investing Activities</t>
  </si>
  <si>
    <t xml:space="preserve">  + Change in Fixed &amp; Intang</t>
  </si>
  <si>
    <t xml:space="preserve">    + Disp in Fixed &amp; Intang</t>
  </si>
  <si>
    <t xml:space="preserve">    + Disp of Fixed Assets</t>
  </si>
  <si>
    <t xml:space="preserve">    + Disp of Intangible Assets</t>
  </si>
  <si>
    <t xml:space="preserve">    + Acq of Fixed &amp; Intang</t>
  </si>
  <si>
    <t xml:space="preserve">    + Purchase of Fixed Production Assets</t>
  </si>
  <si>
    <t xml:space="preserve">    + Acq of Intangible Assets</t>
  </si>
  <si>
    <t xml:space="preserve">  + Net Change in LT Investment</t>
  </si>
  <si>
    <t xml:space="preserve">    + Dec in LT Investment</t>
  </si>
  <si>
    <t xml:space="preserve">    + Inc in LT Investment</t>
  </si>
  <si>
    <t xml:space="preserve">  + Net Cash From Acq &amp; Div</t>
  </si>
  <si>
    <t xml:space="preserve">    + Cash from Divestitures</t>
  </si>
  <si>
    <t xml:space="preserve">    + Cash for Acq of Subs</t>
  </si>
  <si>
    <t xml:space="preserve">    + Cash for JVs</t>
  </si>
  <si>
    <t xml:space="preserve">  + Other Investing Activities</t>
  </si>
  <si>
    <t>Cash from Financing Activities</t>
  </si>
  <si>
    <t xml:space="preserve">  + Dividends Paid</t>
  </si>
  <si>
    <t xml:space="preserve">  + Cash From (Repayment) Debt</t>
  </si>
  <si>
    <t xml:space="preserve">    + Cash From (Repay) ST Debt</t>
  </si>
  <si>
    <t xml:space="preserve">    + Cash From LT Debt</t>
  </si>
  <si>
    <t xml:space="preserve">    + Repayments of LT Debt</t>
  </si>
  <si>
    <t xml:space="preserve">  + Cash (Repurchase) of Equity</t>
  </si>
  <si>
    <t xml:space="preserve">    + Increase in Capital Stock</t>
  </si>
  <si>
    <t xml:space="preserve">    + Decrease in Capital Stock</t>
  </si>
  <si>
    <t xml:space="preserve">  + Other Financing Activities</t>
  </si>
  <si>
    <t xml:space="preserve">  Effect of Foreign Exchange Rates</t>
  </si>
  <si>
    <t>Net Changes in Cash</t>
  </si>
  <si>
    <t>Trailing 12M EBITDA Margin</t>
  </si>
  <si>
    <t>Free Cash Flow</t>
  </si>
  <si>
    <t>Free Cash Flow to Firm</t>
  </si>
  <si>
    <t>Free Cash Flow to Equity</t>
  </si>
  <si>
    <t>Free Cash Flow per Basic Share</t>
  </si>
  <si>
    <t>Price to Free Cash Flow</t>
  </si>
  <si>
    <t>Cash Flow to Net Income</t>
  </si>
  <si>
    <t>Reconciliation</t>
  </si>
  <si>
    <t>EBITDA Reconciliation</t>
  </si>
  <si>
    <t>EBIT, GAAP</t>
  </si>
  <si>
    <t xml:space="preserve">  + Revenue Adjustments</t>
  </si>
  <si>
    <t xml:space="preserve">  + Cost of Revenue Adjustments</t>
  </si>
  <si>
    <t xml:space="preserve">  + Other Op Inc Adjustments</t>
  </si>
  <si>
    <t xml:space="preserve">  + SG&amp;A Adjustments</t>
  </si>
  <si>
    <t xml:space="preserve">  + R&amp;D Expense Adjustments</t>
  </si>
  <si>
    <t xml:space="preserve">  + D&amp;A Adjustments</t>
  </si>
  <si>
    <t xml:space="preserve">  + Prov for Doubtful Acct Adj</t>
  </si>
  <si>
    <t xml:space="preserve">  + Other Op Exp Adjustments</t>
  </si>
  <si>
    <t>EBIT, Adjusted</t>
  </si>
  <si>
    <t>EBITDA, Adjusted</t>
  </si>
  <si>
    <t>EBIT Reconciliation</t>
  </si>
  <si>
    <t xml:space="preserve">  + Other Abnormal Items</t>
  </si>
  <si>
    <t>Pretax Income Reconciliation</t>
  </si>
  <si>
    <t>Net Income Reconciliation</t>
  </si>
  <si>
    <t>Net Inc Avail to Common Sh, GAAP</t>
  </si>
  <si>
    <t xml:space="preserve">  - Discontinued Operations</t>
  </si>
  <si>
    <t xml:space="preserve">  - XO &amp; Accounting Changes</t>
  </si>
  <si>
    <t>Net Inc Avail to Common Cont</t>
  </si>
  <si>
    <t>Earnings Per Share Reconciliation</t>
  </si>
  <si>
    <t>Stock-Based Compensation &amp; Amortization</t>
  </si>
  <si>
    <t>Basic EPS Ex-SBC, Adj</t>
  </si>
  <si>
    <t>Diluted EPS Ex-SBC, Adj</t>
  </si>
  <si>
    <t>Stock Based Compensation</t>
  </si>
  <si>
    <t>Pre-Tax</t>
  </si>
  <si>
    <t>After-Tax</t>
  </si>
  <si>
    <t>Per Basic Share</t>
  </si>
  <si>
    <t>Per Diluted Share</t>
  </si>
  <si>
    <t>Ratios (%)</t>
  </si>
  <si>
    <t>Returns</t>
  </si>
  <si>
    <t xml:space="preserve">  Return on Common Equity</t>
  </si>
  <si>
    <t xml:space="preserve">  Return on Assets</t>
  </si>
  <si>
    <t xml:space="preserve">  Return on Capital</t>
  </si>
  <si>
    <t xml:space="preserve">  Return on Invested Capital</t>
  </si>
  <si>
    <t>Margins</t>
  </si>
  <si>
    <t xml:space="preserve">  Gross Margin</t>
  </si>
  <si>
    <t xml:space="preserve">  EBITDA Margin</t>
  </si>
  <si>
    <t xml:space="preserve">  Operating Margin</t>
  </si>
  <si>
    <t xml:space="preserve">  Incremental Operating Margin</t>
  </si>
  <si>
    <t xml:space="preserve">  Pretax Margin</t>
  </si>
  <si>
    <t xml:space="preserve">  Income before XO Margin</t>
  </si>
  <si>
    <t xml:space="preserve">  Net Income Margin</t>
  </si>
  <si>
    <t xml:space="preserve">  Net Income to Common Margin</t>
  </si>
  <si>
    <t>Additional</t>
  </si>
  <si>
    <t xml:space="preserve">  Effective Tax Rate</t>
  </si>
  <si>
    <t xml:space="preserve">  Dvd Payout Ratio</t>
  </si>
  <si>
    <t xml:space="preserve">  Sustainable Growth Rate</t>
  </si>
  <si>
    <t>Telephone</t>
  </si>
  <si>
    <t>1-602-264-1375</t>
  </si>
  <si>
    <t>Revenue (M)</t>
  </si>
  <si>
    <t>Website</t>
  </si>
  <si>
    <t>www.southerncoppercorp.com</t>
  </si>
  <si>
    <t>No of Employees</t>
  </si>
  <si>
    <t>Address</t>
  </si>
  <si>
    <t>7310 North 16th Street Suite 135 Phoenix, AZ 85020 United States</t>
  </si>
  <si>
    <t>Share Price Performance in USD</t>
  </si>
  <si>
    <t>Price</t>
  </si>
  <si>
    <t>1M Return</t>
  </si>
  <si>
    <t>52 Week High</t>
  </si>
  <si>
    <t>6M Return</t>
  </si>
  <si>
    <t>52 Week Low</t>
  </si>
  <si>
    <t>52 Wk Return</t>
  </si>
  <si>
    <t>52 Wk Beta</t>
  </si>
  <si>
    <t>#N/A</t>
  </si>
  <si>
    <t>YTD Return</t>
  </si>
  <si>
    <t>Credit Ratings</t>
  </si>
  <si>
    <t>S&amp;P</t>
  </si>
  <si>
    <t>BBB+</t>
  </si>
  <si>
    <t>Date</t>
  </si>
  <si>
    <t>18/10/2018</t>
  </si>
  <si>
    <t>Outlook</t>
  </si>
  <si>
    <t>STABLE</t>
  </si>
  <si>
    <t>Moody's</t>
  </si>
  <si>
    <t>Baa1</t>
  </si>
  <si>
    <t>-</t>
  </si>
  <si>
    <t>NEG</t>
  </si>
  <si>
    <t>Fitch</t>
  </si>
  <si>
    <t>3/12/2012</t>
  </si>
  <si>
    <t>Valuation Ratios</t>
  </si>
  <si>
    <t>A</t>
  </si>
  <si>
    <t>USD</t>
  </si>
  <si>
    <t>Fundamental Period</t>
  </si>
  <si>
    <t>Pricing Date</t>
  </si>
  <si>
    <t>2025-06-12</t>
  </si>
  <si>
    <t>Fundamental Offset</t>
  </si>
  <si>
    <t>P/E</t>
  </si>
  <si>
    <t>EV/EBIT</t>
  </si>
  <si>
    <t>EV/EBITDA</t>
  </si>
  <si>
    <t>P/S</t>
  </si>
  <si>
    <t>P/B</t>
  </si>
  <si>
    <t>Div Yield</t>
  </si>
  <si>
    <t>Profitability Ratios %</t>
  </si>
  <si>
    <t>EBITDA Margin</t>
  </si>
  <si>
    <t>Return on Assets</t>
  </si>
  <si>
    <t>Return on Equity</t>
  </si>
  <si>
    <t>Leverage and Coverage Ratios</t>
  </si>
  <si>
    <t>Quick Ratio</t>
  </si>
  <si>
    <t>EBIT/Interest</t>
  </si>
  <si>
    <t>Tot Debt/Capital</t>
  </si>
  <si>
    <t>Tot Debt/Equity</t>
  </si>
  <si>
    <t>Eff Tax Rate %</t>
  </si>
  <si>
    <t>Current Capitalization in USD</t>
  </si>
  <si>
    <t>Common Shares Outstanding (M)</t>
  </si>
  <si>
    <t>Market Capitalization (M)</t>
  </si>
  <si>
    <t>Cash and Equivalents (M)</t>
  </si>
  <si>
    <t>Total Debt (M)</t>
  </si>
  <si>
    <t>Preferred Equity (M)</t>
  </si>
  <si>
    <t>Minority Interest (M)</t>
  </si>
  <si>
    <t>Enterprise Value (M)</t>
  </si>
  <si>
    <t>Business Segments in USD   (2024)</t>
  </si>
  <si>
    <t>Sales (M)</t>
  </si>
  <si>
    <t>Geographic Segments in USD   (2024)</t>
  </si>
  <si>
    <t>Mexican Open Pit</t>
  </si>
  <si>
    <t>The Americas</t>
  </si>
  <si>
    <t>Peruvian Operations</t>
  </si>
  <si>
    <t>Europe</t>
  </si>
  <si>
    <t>Mexican IMMSA Unit</t>
  </si>
  <si>
    <t>Asia</t>
  </si>
  <si>
    <t>Adjustment</t>
  </si>
  <si>
    <t>Corporate &amp; Eliminations</t>
  </si>
  <si>
    <t>Ticker</t>
  </si>
  <si>
    <t>Company Name</t>
  </si>
  <si>
    <t>Sub-Industry</t>
  </si>
  <si>
    <t>SCCO</t>
  </si>
  <si>
    <t>SOUTHERN COPPER CORP</t>
  </si>
  <si>
    <t>Cobre</t>
  </si>
  <si>
    <t>LUN CN</t>
  </si>
  <si>
    <t>LUNDIN MINING CORP</t>
  </si>
  <si>
    <t>CAD</t>
  </si>
  <si>
    <t>FM CN</t>
  </si>
  <si>
    <t>FIRST QUANTUM MINERALS LTD</t>
  </si>
  <si>
    <t>1208 HK</t>
  </si>
  <si>
    <t>MMG LTD</t>
  </si>
  <si>
    <t>Minería y metales diversos</t>
  </si>
  <si>
    <t>HKD</t>
  </si>
  <si>
    <t>NGEX CN</t>
  </si>
  <si>
    <t>NGEX MINERALS LTD</t>
  </si>
  <si>
    <t>CS CN</t>
  </si>
  <si>
    <t>CAPSTONE COPPER CORP</t>
  </si>
  <si>
    <t>IVN CN</t>
  </si>
  <si>
    <t>IVANHOE MINES LTD-CL A</t>
  </si>
  <si>
    <t>HCP IN</t>
  </si>
  <si>
    <t>HINDUSTAN COPPER LTD</t>
  </si>
  <si>
    <t>INR</t>
  </si>
  <si>
    <t>HBM CN</t>
  </si>
  <si>
    <t>HUDBAY MINERALS INC</t>
  </si>
  <si>
    <t>TECK/B CN</t>
  </si>
  <si>
    <t>TECK RESOURCES LTD-CLS B</t>
  </si>
  <si>
    <t>KGH PW</t>
  </si>
  <si>
    <t>KGHM POLSKA MIEDZ SA</t>
  </si>
  <si>
    <t>PLN</t>
  </si>
  <si>
    <t>000737 CH</t>
  </si>
  <si>
    <t>NORTH COPPER CO LTD-A</t>
  </si>
  <si>
    <t>CNY</t>
  </si>
  <si>
    <t>301217 CH</t>
  </si>
  <si>
    <t>ANHUI TONGGUAN COPPER FOIL-A</t>
  </si>
  <si>
    <t>688388 CH</t>
  </si>
  <si>
    <t>GUANGDONG JIA YUAN TECHNOL-A</t>
  </si>
  <si>
    <t>Equipos y componentes eléctri</t>
  </si>
  <si>
    <t>600490 CH</t>
  </si>
  <si>
    <t>PENGXIN INTERNATIONAL MINI-A</t>
  </si>
  <si>
    <t>NDA GR</t>
  </si>
  <si>
    <t>AURUBIS AG</t>
  </si>
  <si>
    <t>EUR</t>
  </si>
  <si>
    <t>601609 CH</t>
  </si>
  <si>
    <t>NINGBO JINTIAN COPPER GROU-A</t>
  </si>
  <si>
    <t>FOM CN</t>
  </si>
  <si>
    <t>FORAN MINING CORPORATION</t>
  </si>
  <si>
    <t>ANTO LN</t>
  </si>
  <si>
    <t>ANTOFAGASTA PLC</t>
  </si>
  <si>
    <t>GBp</t>
  </si>
  <si>
    <t>CVERDEC1 PE</t>
  </si>
  <si>
    <t>SOCIEDAD MINERA CERRO VERDE</t>
  </si>
  <si>
    <t>688019 CH</t>
  </si>
  <si>
    <t>ANJI MICROELECTRONICS TECH-A</t>
  </si>
  <si>
    <t>Material y equipo de semicondu</t>
  </si>
  <si>
    <t>FCX US</t>
  </si>
  <si>
    <t>FREEPORT-MCMORAN INC</t>
  </si>
  <si>
    <t>MFRISCOA MM</t>
  </si>
  <si>
    <t>MINERA FRISCO SAB DE CV-A1</t>
  </si>
  <si>
    <t>MXN</t>
  </si>
  <si>
    <t>MINSURI1 PE</t>
  </si>
  <si>
    <t>MINSUR SA-INVERSIONES</t>
  </si>
  <si>
    <t>PEN</t>
  </si>
  <si>
    <t>000878 CH</t>
  </si>
  <si>
    <t>YUNNAN COPPER CO LTD-A</t>
  </si>
  <si>
    <t>BUENAVC1 PE</t>
  </si>
  <si>
    <t>CIA DE MINAS BUENAVENTUR-COM</t>
  </si>
  <si>
    <t>Oro</t>
  </si>
  <si>
    <t>000960 CH</t>
  </si>
  <si>
    <t>YUNNAN TIN CO LTD-A</t>
  </si>
  <si>
    <t>GMEXICOB MM</t>
  </si>
  <si>
    <t>GRUPO MEXICO SAB DE CV-SER B</t>
  </si>
  <si>
    <t>358 HK</t>
  </si>
  <si>
    <t>JIANGXI COPPER CO LTD-H</t>
  </si>
  <si>
    <t>600531 CH</t>
  </si>
  <si>
    <t>HENAN YUGUANG GOLD&amp;LEAD CO-A</t>
  </si>
  <si>
    <t>000630 CH</t>
  </si>
  <si>
    <t>TONGLING NONFERROUS METALS-A</t>
  </si>
  <si>
    <t>ROE</t>
  </si>
  <si>
    <t>Mean</t>
  </si>
  <si>
    <t>6M Ret</t>
  </si>
  <si>
    <t>1M Ret</t>
  </si>
  <si>
    <t>Mcap (M)</t>
  </si>
  <si>
    <t>Pricing</t>
  </si>
  <si>
    <t>Perfomance</t>
  </si>
  <si>
    <t>EV/EVITBDA</t>
  </si>
  <si>
    <t>DIVIDEND YIELD</t>
  </si>
  <si>
    <t>PRICE EARNING</t>
  </si>
  <si>
    <t>Curr</t>
  </si>
  <si>
    <t>Peers</t>
  </si>
  <si>
    <t>Mínimo</t>
  </si>
  <si>
    <t>Máximo</t>
  </si>
  <si>
    <t>Estadístic</t>
  </si>
  <si>
    <t>Target</t>
  </si>
  <si>
    <t>Broker</t>
  </si>
  <si>
    <t>Analyst</t>
  </si>
  <si>
    <t>Recommendation</t>
  </si>
  <si>
    <t>Itau BBA Securities</t>
  </si>
  <si>
    <t>Daniel Sasson</t>
  </si>
  <si>
    <t>market perform</t>
  </si>
  <si>
    <t>Morgan Stanley</t>
  </si>
  <si>
    <t>Carlos De Alba</t>
  </si>
  <si>
    <t>Equalwt/No Rating</t>
  </si>
  <si>
    <t>Zacks</t>
  </si>
  <si>
    <t>Team Coverage</t>
  </si>
  <si>
    <t>neutral</t>
  </si>
  <si>
    <t>Goldman Sachs</t>
  </si>
  <si>
    <t>Marcio Farid</t>
  </si>
  <si>
    <t>sell</t>
  </si>
  <si>
    <t>Banco BTG Pactual</t>
  </si>
  <si>
    <t>Leonardo Correa</t>
  </si>
  <si>
    <t>Scotiabank</t>
  </si>
  <si>
    <t>Alfonso Salazar</t>
  </si>
  <si>
    <t>sector underperform</t>
  </si>
  <si>
    <t>Baptista Research</t>
  </si>
  <si>
    <t>Ishan Majumdar</t>
  </si>
  <si>
    <t>hold</t>
  </si>
  <si>
    <t>Ameriprise Advisor Services Ltd Inc</t>
  </si>
  <si>
    <t>Andrew Heaney</t>
  </si>
  <si>
    <t>buy</t>
  </si>
  <si>
    <t>Citi</t>
  </si>
  <si>
    <t>Alexander Hacking</t>
  </si>
  <si>
    <t>CICC</t>
  </si>
  <si>
    <t>Tingshuai Feng</t>
  </si>
  <si>
    <t>outperform</t>
  </si>
  <si>
    <t>Grupo Coril Soc Agente De Bolsa SA</t>
  </si>
  <si>
    <t>Sebastian Garaycochea</t>
  </si>
  <si>
    <t>Bradesco BBI</t>
  </si>
  <si>
    <t>Rafael Barcellos</t>
  </si>
  <si>
    <t>Larrain Vial S.A.</t>
  </si>
  <si>
    <t>Juraj Domic</t>
  </si>
  <si>
    <t>Wolfe Research</t>
  </si>
  <si>
    <t>Timna Tanners</t>
  </si>
  <si>
    <t>peerperform</t>
  </si>
  <si>
    <t>Credicorp Capital</t>
  </si>
  <si>
    <t>Miguel Leiva</t>
  </si>
  <si>
    <t>underperform</t>
  </si>
  <si>
    <t>Grupo Santander</t>
  </si>
  <si>
    <t>Yuri Pereira</t>
  </si>
  <si>
    <t>HSBC</t>
  </si>
  <si>
    <t>Jonathan Brandt</t>
  </si>
  <si>
    <t>JP Morgan</t>
  </si>
  <si>
    <t>Rodolfo Angele</t>
  </si>
  <si>
    <t>Jefferies</t>
  </si>
  <si>
    <t>Alejandro Demichelis</t>
  </si>
  <si>
    <t>Sadif Investment Analytics</t>
  </si>
  <si>
    <t>Kallpa Securities SAB (AGCO Partner)</t>
  </si>
  <si>
    <t>Anthony Hawkins</t>
  </si>
  <si>
    <t>Inteligo SAB</t>
  </si>
  <si>
    <t>Flavia Castillo</t>
  </si>
  <si>
    <t>ISS-EVA</t>
  </si>
  <si>
    <t>underweight</t>
  </si>
  <si>
    <t>Buy</t>
  </si>
  <si>
    <t>Hold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</si>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</sst>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_(* #,##0_);_(* \(#,##0\);_(* &quot;-&quot;??_);_(@_)"/>
    <numFmt numFmtId="165" formatCode="[$S/-280A]\ #,##0"/>
    <numFmt numFmtId="166" formatCode="0.0%"/>
    <numFmt numFmtId="167" formatCode="#,##0.0\x"/>
    <numFmt numFmtId="168" formatCode="m/yy"/>
    <numFmt numFmtId="169" formatCode="0.0"/>
    <numFmt numFmtId="170" formatCode="_(&quot;$&quot;* #,##0.00_);_(&quot;$&quot;* \(#,##0.00\);_(&quot;$&quot;* &quot;-&quot;??_);_(@_)"/>
    <numFmt numFmtId="171" formatCode="_-[$$-409]* #,##0.00_ ;_-[$$-409]* \-#,##0.00\ ;_-[$$-409]* &quot;-&quot;??_ ;_-@_ "/>
    <numFmt numFmtId="172" formatCode="_-[$$-409]* #,##0_ ;_-[$$-409]* \-#,##0\ ;_-[$$-409]* &quot;-&quot;??_ ;_-@_ "/>
    <numFmt numFmtId="173" formatCode="mm/dd/yy;@"/>
    <numFmt numFmtId="181" formatCode="_-* #,##0.00000000_-;\-* #,##0.0000000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rgb="FFFFFFFF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9"/>
      <color theme="3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sz val="1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14" fontId="5" fillId="2" borderId="5" xfId="0" applyNumberFormat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horizontal="center" vertical="center"/>
    </xf>
    <xf numFmtId="164" fontId="7" fillId="0" borderId="0" xfId="1" applyNumberFormat="1" applyFont="1"/>
    <xf numFmtId="165" fontId="7" fillId="0" borderId="0" xfId="1" applyNumberFormat="1" applyFont="1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quotePrefix="1" applyFont="1"/>
    <xf numFmtId="164" fontId="9" fillId="0" borderId="0" xfId="1" applyNumberFormat="1" applyFont="1"/>
    <xf numFmtId="0" fontId="6" fillId="2" borderId="1" xfId="0" applyFont="1" applyFill="1" applyBorder="1" applyAlignment="1">
      <alignment horizontal="left" vertical="center" inden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indent="1"/>
    </xf>
    <xf numFmtId="4" fontId="9" fillId="0" borderId="0" xfId="1" applyNumberFormat="1" applyFont="1"/>
    <xf numFmtId="4" fontId="7" fillId="0" borderId="0" xfId="1" applyNumberFormat="1" applyFont="1"/>
    <xf numFmtId="0" fontId="0" fillId="0" borderId="0" xfId="0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top"/>
    </xf>
    <xf numFmtId="172" fontId="16" fillId="0" borderId="0" xfId="0" applyNumberFormat="1" applyFont="1" applyAlignment="1">
      <alignment horizontal="center" vertical="top"/>
    </xf>
    <xf numFmtId="172" fontId="21" fillId="0" borderId="0" xfId="0" applyNumberFormat="1" applyFont="1" applyAlignment="1">
      <alignment horizontal="center" vertical="top"/>
    </xf>
    <xf numFmtId="0" fontId="16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0" fillId="0" borderId="0" xfId="0" applyAlignment="1">
      <alignment wrapText="1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top"/>
    </xf>
    <xf numFmtId="3" fontId="12" fillId="0" borderId="0" xfId="0" applyNumberFormat="1" applyFont="1" applyAlignment="1">
      <alignment vertical="top"/>
    </xf>
    <xf numFmtId="0" fontId="15" fillId="0" borderId="0" xfId="0" applyFont="1"/>
    <xf numFmtId="0" fontId="11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6" fontId="15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67" fontId="11" fillId="0" borderId="0" xfId="0" applyNumberFormat="1" applyFont="1" applyAlignment="1">
      <alignment horizontal="right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center"/>
    </xf>
    <xf numFmtId="166" fontId="12" fillId="0" borderId="0" xfId="0" applyNumberFormat="1" applyFont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quotePrefix="1" applyFont="1" applyAlignment="1">
      <alignment horizontal="center" vertical="center"/>
    </xf>
    <xf numFmtId="168" fontId="11" fillId="0" borderId="0" xfId="0" applyNumberFormat="1" applyFont="1" applyAlignment="1">
      <alignment horizontal="center" vertical="top"/>
    </xf>
    <xf numFmtId="167" fontId="12" fillId="0" borderId="0" xfId="0" applyNumberFormat="1" applyFont="1" applyAlignment="1">
      <alignment horizontal="center" vertical="top"/>
    </xf>
    <xf numFmtId="169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horizontal="center" vertical="top"/>
    </xf>
    <xf numFmtId="169" fontId="12" fillId="0" borderId="0" xfId="0" applyNumberFormat="1" applyFont="1" applyAlignment="1">
      <alignment vertical="top"/>
    </xf>
    <xf numFmtId="4" fontId="12" fillId="0" borderId="0" xfId="0" applyNumberFormat="1" applyFont="1" applyAlignment="1">
      <alignment vertical="top"/>
    </xf>
    <xf numFmtId="4" fontId="12" fillId="0" borderId="0" xfId="0" quotePrefix="1" applyNumberFormat="1" applyFont="1" applyAlignment="1">
      <alignment vertical="top"/>
    </xf>
    <xf numFmtId="170" fontId="13" fillId="2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left" vertical="top"/>
    </xf>
    <xf numFmtId="171" fontId="21" fillId="0" borderId="0" xfId="0" applyNumberFormat="1" applyFont="1" applyAlignment="1">
      <alignment horizontal="left" vertical="top"/>
    </xf>
    <xf numFmtId="171" fontId="21" fillId="0" borderId="0" xfId="2" applyNumberFormat="1" applyFont="1" applyFill="1" applyBorder="1" applyAlignment="1">
      <alignment vertical="top"/>
    </xf>
    <xf numFmtId="3" fontId="21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0" fontId="4" fillId="0" borderId="0" xfId="0" applyFont="1"/>
    <xf numFmtId="166" fontId="7" fillId="0" borderId="0" xfId="3" applyNumberFormat="1" applyFont="1" applyBorder="1"/>
    <xf numFmtId="14" fontId="7" fillId="0" borderId="0" xfId="0" applyNumberFormat="1" applyFont="1"/>
    <xf numFmtId="173" fontId="22" fillId="0" borderId="0" xfId="0" applyNumberFormat="1" applyFont="1" applyAlignment="1">
      <alignment vertical="top"/>
    </xf>
    <xf numFmtId="0" fontId="7" fillId="0" borderId="10" xfId="0" applyFont="1" applyBorder="1"/>
    <xf numFmtId="14" fontId="7" fillId="0" borderId="10" xfId="0" applyNumberFormat="1" applyFont="1" applyBorder="1"/>
    <xf numFmtId="0" fontId="23" fillId="4" borderId="11" xfId="0" applyFont="1" applyFill="1" applyBorder="1" applyAlignment="1">
      <alignment horizontal="center"/>
    </xf>
    <xf numFmtId="173" fontId="22" fillId="0" borderId="10" xfId="0" applyNumberFormat="1" applyFont="1" applyBorder="1" applyAlignment="1">
      <alignment vertical="top"/>
    </xf>
    <xf numFmtId="171" fontId="7" fillId="0" borderId="0" xfId="0" applyNumberFormat="1" applyFont="1"/>
    <xf numFmtId="171" fontId="7" fillId="0" borderId="10" xfId="0" applyNumberFormat="1" applyFont="1" applyBorder="1"/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vertical="center" wrapText="1"/>
    </xf>
    <xf numFmtId="0" fontId="20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 vertical="center" wrapText="1"/>
    </xf>
    <xf numFmtId="10" fontId="0" fillId="0" borderId="0" xfId="3" applyNumberFormat="1" applyFont="1" applyBorder="1" applyAlignment="1"/>
    <xf numFmtId="167" fontId="0" fillId="0" borderId="0" xfId="0" applyNumberFormat="1" applyAlignment="1">
      <alignment wrapText="1"/>
    </xf>
    <xf numFmtId="167" fontId="0" fillId="6" borderId="0" xfId="0" applyNumberFormat="1" applyFill="1" applyAlignment="1">
      <alignment wrapText="1"/>
    </xf>
    <xf numFmtId="167" fontId="0" fillId="0" borderId="0" xfId="0" applyNumberFormat="1"/>
    <xf numFmtId="167" fontId="0" fillId="6" borderId="0" xfId="0" applyNumberFormat="1" applyFill="1"/>
    <xf numFmtId="166" fontId="0" fillId="0" borderId="0" xfId="3" applyNumberFormat="1" applyFont="1" applyBorder="1" applyAlignment="1"/>
    <xf numFmtId="166" fontId="0" fillId="6" borderId="0" xfId="3" applyNumberFormat="1" applyFont="1" applyFill="1" applyBorder="1" applyAlignment="1"/>
    <xf numFmtId="10" fontId="0" fillId="6" borderId="0" xfId="3" applyNumberFormat="1" applyFont="1" applyFill="1" applyBorder="1" applyAlignment="1"/>
    <xf numFmtId="0" fontId="21" fillId="0" borderId="10" xfId="0" applyFont="1" applyBorder="1" applyAlignment="1">
      <alignment vertical="top"/>
    </xf>
    <xf numFmtId="0" fontId="21" fillId="0" borderId="10" xfId="0" applyFont="1" applyBorder="1" applyAlignment="1">
      <alignment horizontal="center" vertical="top"/>
    </xf>
    <xf numFmtId="172" fontId="21" fillId="0" borderId="10" xfId="0" applyNumberFormat="1" applyFont="1" applyBorder="1" applyAlignment="1">
      <alignment horizontal="center" vertical="top"/>
    </xf>
    <xf numFmtId="10" fontId="0" fillId="0" borderId="10" xfId="3" applyNumberFormat="1" applyFont="1" applyBorder="1" applyAlignment="1"/>
    <xf numFmtId="167" fontId="0" fillId="0" borderId="10" xfId="0" applyNumberFormat="1" applyBorder="1" applyAlignment="1">
      <alignment wrapText="1"/>
    </xf>
    <xf numFmtId="167" fontId="0" fillId="6" borderId="10" xfId="0" applyNumberFormat="1" applyFill="1" applyBorder="1" applyAlignment="1">
      <alignment wrapText="1"/>
    </xf>
    <xf numFmtId="167" fontId="0" fillId="0" borderId="10" xfId="0" applyNumberFormat="1" applyBorder="1"/>
    <xf numFmtId="167" fontId="0" fillId="6" borderId="10" xfId="0" applyNumberFormat="1" applyFill="1" applyBorder="1"/>
    <xf numFmtId="166" fontId="0" fillId="0" borderId="10" xfId="3" applyNumberFormat="1" applyFont="1" applyBorder="1" applyAlignment="1"/>
    <xf numFmtId="166" fontId="0" fillId="6" borderId="10" xfId="3" applyNumberFormat="1" applyFont="1" applyFill="1" applyBorder="1" applyAlignment="1"/>
    <xf numFmtId="10" fontId="0" fillId="6" borderId="10" xfId="3" applyNumberFormat="1" applyFont="1" applyFill="1" applyBorder="1" applyAlignment="1"/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172" fontId="0" fillId="0" borderId="0" xfId="0" applyNumberFormat="1"/>
    <xf numFmtId="172" fontId="0" fillId="0" borderId="10" xfId="0" applyNumberFormat="1" applyBorder="1"/>
    <xf numFmtId="0" fontId="4" fillId="5" borderId="11" xfId="0" applyFont="1" applyFill="1" applyBorder="1" applyAlignment="1">
      <alignment horizontal="center"/>
    </xf>
    <xf numFmtId="0" fontId="16" fillId="0" borderId="0" xfId="0" applyFont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10" fillId="2" borderId="9" xfId="0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indent="1"/>
    </xf>
    <xf numFmtId="0" fontId="6" fillId="2" borderId="13" xfId="0" applyFont="1" applyFill="1" applyBorder="1" applyAlignment="1">
      <alignment horizontal="left" vertical="center" indent="1"/>
    </xf>
    <xf numFmtId="0" fontId="7" fillId="0" borderId="7" xfId="0" applyFont="1" applyBorder="1"/>
    <xf numFmtId="0" fontId="0" fillId="0" borderId="7" xfId="0" applyBorder="1"/>
    <xf numFmtId="0" fontId="8" fillId="2" borderId="9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indent="1"/>
    </xf>
    <xf numFmtId="0" fontId="5" fillId="2" borderId="13" xfId="0" applyFont="1" applyFill="1" applyBorder="1" applyAlignment="1">
      <alignment horizontal="left" vertical="center" indent="1"/>
    </xf>
    <xf numFmtId="0" fontId="9" fillId="0" borderId="7" xfId="0" applyFont="1" applyBorder="1"/>
    <xf numFmtId="0" fontId="3" fillId="0" borderId="7" xfId="0" applyFont="1" applyBorder="1"/>
    <xf numFmtId="0" fontId="11" fillId="0" borderId="0" xfId="0" applyFont="1" applyAlignment="1">
      <alignment horizontal="left" vertical="top" indent="1"/>
    </xf>
    <xf numFmtId="0" fontId="13" fillId="2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167" fontId="12" fillId="0" borderId="0" xfId="0" applyNumberFormat="1" applyFont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2" fontId="12" fillId="0" borderId="0" xfId="0" applyNumberFormat="1" applyFont="1" applyAlignment="1">
      <alignment horizontal="center" vertical="top"/>
    </xf>
    <xf numFmtId="0" fontId="13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wrapText="1"/>
    </xf>
    <xf numFmtId="181" fontId="0" fillId="0" borderId="0" xfId="1" applyNumberFormat="1" applyFont="1"/>
    <xf numFmtId="171" fontId="7" fillId="0" borderId="0" xfId="1" applyNumberFormat="1" applyFont="1"/>
    <xf numFmtId="171" fontId="7" fillId="7" borderId="0" xfId="1" applyNumberFormat="1" applyFont="1" applyFill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2">
    <dxf>
      <font>
        <condense val="0"/>
        <extend val="0"/>
        <color indexed="22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Business Segments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0288713910762"/>
          <c:y val="0.15733231262758821"/>
          <c:w val="0.69278543307086615"/>
          <c:h val="0.5131743948673082"/>
        </c:manualLayout>
      </c:layout>
      <c:pieChart>
        <c:varyColors val="1"/>
        <c:ser>
          <c:idx val="0"/>
          <c:order val="0"/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5-5099-4E21-846C-DD7CB351AC5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6-5099-4E21-846C-DD7CB351AC5D}"/>
              </c:ext>
            </c:extLst>
          </c:dPt>
          <c:cat>
            <c:strLit>
              <c:ptCount val="8"/>
              <c:pt idx="0">
                <c:v>Mexican Open Pit</c:v>
              </c:pt>
              <c:pt idx="1">
                <c:v>Peruvian Operations</c:v>
              </c:pt>
              <c:pt idx="2">
                <c:v>Mexican IMMSA Unit</c:v>
              </c:pt>
              <c:pt idx="3">
                <c:v>Adjustment</c:v>
              </c:pt>
              <c:pt idx="4">
                <c:v>Corporate &amp; Eliminations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7-5099-4E21-846C-DD7CB351A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3522965879265088E-2"/>
          <c:y val="0.71242641999847101"/>
          <c:w val="0.89605216535433063"/>
          <c:h val="0.26839563743852413"/>
        </c:manualLayout>
      </c:layout>
      <c:overlay val="0"/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12700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1"/>
              <a:t>Geographic Segments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573556430446194"/>
          <c:y val="0.12413458734324877"/>
          <c:w val="0.70196161417322833"/>
          <c:h val="0.51997156605424322"/>
        </c:manualLayout>
      </c:layout>
      <c:pieChart>
        <c:varyColors val="1"/>
        <c:ser>
          <c:idx val="0"/>
          <c:order val="0"/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FAF2-484A-88FE-2686D4484CE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FAF2-484A-88FE-2686D4484CE1}"/>
              </c:ext>
            </c:extLst>
          </c:dPt>
          <c:cat>
            <c:strLit>
              <c:ptCount val="8"/>
              <c:pt idx="0">
                <c:v>The Americas</c:v>
              </c:pt>
              <c:pt idx="1">
                <c:v>Europe</c:v>
              </c:pt>
              <c:pt idx="2">
                <c:v>Asia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FAF2-484A-88FE-2686D4484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3856627296587925E-2"/>
          <c:y val="0.72470835563030345"/>
          <c:w val="0.89071948818897639"/>
          <c:h val="0.25885329867747109"/>
        </c:manualLayout>
      </c:layout>
      <c:overlay val="0"/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r>
              <a:rPr lang="en-US" sz="1050">
                <a:latin typeface="+mn-lt"/>
              </a:rPr>
              <a:t>Buy and Sell Recommendations vs Price and Target Price</a:t>
            </a:r>
          </a:p>
        </c:rich>
      </c:tx>
      <c:layout>
        <c:manualLayout>
          <c:xMode val="edge"/>
          <c:yMode val="edge"/>
          <c:x val="0.2379369105000155"/>
          <c:y val="3.4267989228619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514217445385168E-2"/>
          <c:y val="0.14018734237290198"/>
          <c:w val="0.81364458783260629"/>
          <c:h val="0.6978214375895565"/>
        </c:manualLayout>
      </c:layout>
      <c:barChart>
        <c:barDir val="col"/>
        <c:grouping val="percentStacked"/>
        <c:varyColors val="0"/>
        <c:ser>
          <c:idx val="0"/>
          <c:order val="0"/>
          <c:tx>
            <c:v>Buy</c:v>
          </c:tx>
          <c:spPr>
            <a:solidFill>
              <a:srgbClr val="008080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13"/>
            </c:numLit>
          </c:cat>
          <c:val>
            <c:numLit>
              <c:formatCode>General</c:formatCode>
              <c:ptCount val="13"/>
              <c:pt idx="0">
                <c:v>0.15</c:v>
              </c:pt>
              <c:pt idx="1">
                <c:v>0.15</c:v>
              </c:pt>
              <c:pt idx="2">
                <c:v>0.14285714285714285</c:v>
              </c:pt>
              <c:pt idx="3">
                <c:v>0.14285714285714285</c:v>
              </c:pt>
              <c:pt idx="4">
                <c:v>0.14285714285714285</c:v>
              </c:pt>
              <c:pt idx="5">
                <c:v>0.19047619047619047</c:v>
              </c:pt>
              <c:pt idx="6">
                <c:v>0.19047619047619047</c:v>
              </c:pt>
              <c:pt idx="7">
                <c:v>0.23809523809523808</c:v>
              </c:pt>
              <c:pt idx="8">
                <c:v>0.19047619047619047</c:v>
              </c:pt>
              <c:pt idx="9">
                <c:v>0.22727272727272727</c:v>
              </c:pt>
              <c:pt idx="10">
                <c:v>0.27272727272727271</c:v>
              </c:pt>
              <c:pt idx="11">
                <c:v>0.27272727272727271</c:v>
              </c:pt>
              <c:pt idx="12">
                <c:v>0.27272727272727271</c:v>
              </c:pt>
            </c:numLit>
          </c:val>
          <c:extLst>
            <c:ext xmlns:c16="http://schemas.microsoft.com/office/drawing/2014/chart" uri="{C3380CC4-5D6E-409C-BE32-E72D297353CC}">
              <c16:uniqueId val="{00000000-10BD-4D74-9F3F-F8E5228CBAFC}"/>
            </c:ext>
          </c:extLst>
        </c:ser>
        <c:ser>
          <c:idx val="1"/>
          <c:order val="1"/>
          <c:tx>
            <c:v>Hold</c:v>
          </c:tx>
          <c:spPr>
            <a:solidFill>
              <a:srgbClr val="FAB882"/>
            </a:solidFill>
            <a:ln w="12700"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</c:numLit>
          </c:cat>
          <c:val>
            <c:numLit>
              <c:formatCode>General</c:formatCode>
              <c:ptCount val="13"/>
              <c:pt idx="0">
                <c:v>0.2</c:v>
              </c:pt>
              <c:pt idx="1">
                <c:v>0.2</c:v>
              </c:pt>
              <c:pt idx="2">
                <c:v>0.23809523809523808</c:v>
              </c:pt>
              <c:pt idx="3">
                <c:v>0.23809523809523808</c:v>
              </c:pt>
              <c:pt idx="4">
                <c:v>0.23809523809523808</c:v>
              </c:pt>
              <c:pt idx="5">
                <c:v>0.23809523809523808</c:v>
              </c:pt>
              <c:pt idx="6">
                <c:v>0.23809523809523808</c:v>
              </c:pt>
              <c:pt idx="7">
                <c:v>0.33333333333333331</c:v>
              </c:pt>
              <c:pt idx="8">
                <c:v>0.38095238095238093</c:v>
              </c:pt>
              <c:pt idx="9">
                <c:v>0.36363636363636365</c:v>
              </c:pt>
              <c:pt idx="10">
                <c:v>0.31818181818181818</c:v>
              </c:pt>
              <c:pt idx="11">
                <c:v>0.36363636363636365</c:v>
              </c:pt>
              <c:pt idx="12">
                <c:v>0.36363636363636365</c:v>
              </c:pt>
            </c:numLit>
          </c:val>
          <c:extLst>
            <c:ext xmlns:c16="http://schemas.microsoft.com/office/drawing/2014/chart" uri="{C3380CC4-5D6E-409C-BE32-E72D297353CC}">
              <c16:uniqueId val="{00000001-10BD-4D74-9F3F-F8E5228CBAFC}"/>
            </c:ext>
          </c:extLst>
        </c:ser>
        <c:ser>
          <c:idx val="2"/>
          <c:order val="2"/>
          <c:tx>
            <c:v>Sell</c:v>
          </c:tx>
          <c:spPr>
            <a:solidFill>
              <a:srgbClr val="E34234"/>
            </a:solidFill>
            <a:ln w="12700"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</c:numLit>
          </c:cat>
          <c:val>
            <c:numLit>
              <c:formatCode>General</c:formatCode>
              <c:ptCount val="13"/>
              <c:pt idx="0">
                <c:v>0.65</c:v>
              </c:pt>
              <c:pt idx="1">
                <c:v>0.65</c:v>
              </c:pt>
              <c:pt idx="2">
                <c:v>0.61904761904761907</c:v>
              </c:pt>
              <c:pt idx="3">
                <c:v>0.61904761904761907</c:v>
              </c:pt>
              <c:pt idx="4">
                <c:v>0.61904761904761907</c:v>
              </c:pt>
              <c:pt idx="5">
                <c:v>0.5714285714285714</c:v>
              </c:pt>
              <c:pt idx="6">
                <c:v>0.5714285714285714</c:v>
              </c:pt>
              <c:pt idx="7">
                <c:v>0.42857142857142855</c:v>
              </c:pt>
              <c:pt idx="8">
                <c:v>0.42857142857142855</c:v>
              </c:pt>
              <c:pt idx="9">
                <c:v>0.40909090909090912</c:v>
              </c:pt>
              <c:pt idx="10">
                <c:v>0.40909090909090912</c:v>
              </c:pt>
              <c:pt idx="11">
                <c:v>0.36363636363636365</c:v>
              </c:pt>
              <c:pt idx="12">
                <c:v>0.36363636363636365</c:v>
              </c:pt>
            </c:numLit>
          </c:val>
          <c:extLst>
            <c:ext xmlns:c16="http://schemas.microsoft.com/office/drawing/2014/chart" uri="{C3380CC4-5D6E-409C-BE32-E72D297353CC}">
              <c16:uniqueId val="{00000002-10BD-4D74-9F3F-F8E5228CB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32264192"/>
        <c:axId val="632265728"/>
      </c:barChart>
      <c:lineChart>
        <c:grouping val="standard"/>
        <c:varyColors val="0"/>
        <c:ser>
          <c:idx val="3"/>
          <c:order val="3"/>
          <c:tx>
            <c:v>Price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550"/>
              <c:pt idx="0">
                <c:v>45820</c:v>
              </c:pt>
              <c:pt idx="1">
                <c:v>45819</c:v>
              </c:pt>
              <c:pt idx="2">
                <c:v>45818</c:v>
              </c:pt>
              <c:pt idx="3">
                <c:v>45817</c:v>
              </c:pt>
              <c:pt idx="4">
                <c:v>45816</c:v>
              </c:pt>
              <c:pt idx="5">
                <c:v>45815</c:v>
              </c:pt>
              <c:pt idx="6">
                <c:v>45814</c:v>
              </c:pt>
              <c:pt idx="7">
                <c:v>45813</c:v>
              </c:pt>
              <c:pt idx="8">
                <c:v>45812</c:v>
              </c:pt>
              <c:pt idx="9">
                <c:v>45811</c:v>
              </c:pt>
              <c:pt idx="10">
                <c:v>45810</c:v>
              </c:pt>
              <c:pt idx="11">
                <c:v>45809</c:v>
              </c:pt>
              <c:pt idx="12">
                <c:v>45808</c:v>
              </c:pt>
              <c:pt idx="13">
                <c:v>45807</c:v>
              </c:pt>
              <c:pt idx="14">
                <c:v>45806</c:v>
              </c:pt>
              <c:pt idx="15">
                <c:v>45805</c:v>
              </c:pt>
              <c:pt idx="16">
                <c:v>45804</c:v>
              </c:pt>
              <c:pt idx="17">
                <c:v>45803</c:v>
              </c:pt>
              <c:pt idx="18">
                <c:v>45802</c:v>
              </c:pt>
              <c:pt idx="19">
                <c:v>45801</c:v>
              </c:pt>
              <c:pt idx="20">
                <c:v>45800</c:v>
              </c:pt>
              <c:pt idx="21">
                <c:v>45799</c:v>
              </c:pt>
              <c:pt idx="22">
                <c:v>45798</c:v>
              </c:pt>
              <c:pt idx="23">
                <c:v>45797</c:v>
              </c:pt>
              <c:pt idx="24">
                <c:v>45796</c:v>
              </c:pt>
              <c:pt idx="25">
                <c:v>45795</c:v>
              </c:pt>
              <c:pt idx="26">
                <c:v>45794</c:v>
              </c:pt>
              <c:pt idx="27">
                <c:v>45793</c:v>
              </c:pt>
              <c:pt idx="28">
                <c:v>45792</c:v>
              </c:pt>
              <c:pt idx="29">
                <c:v>45791</c:v>
              </c:pt>
              <c:pt idx="30">
                <c:v>45790</c:v>
              </c:pt>
              <c:pt idx="31">
                <c:v>45789</c:v>
              </c:pt>
              <c:pt idx="32">
                <c:v>45788</c:v>
              </c:pt>
              <c:pt idx="33">
                <c:v>45787</c:v>
              </c:pt>
              <c:pt idx="34">
                <c:v>45786</c:v>
              </c:pt>
              <c:pt idx="35">
                <c:v>45785</c:v>
              </c:pt>
              <c:pt idx="36">
                <c:v>45784</c:v>
              </c:pt>
              <c:pt idx="37">
                <c:v>45783</c:v>
              </c:pt>
              <c:pt idx="38">
                <c:v>45782</c:v>
              </c:pt>
              <c:pt idx="39">
                <c:v>45781</c:v>
              </c:pt>
              <c:pt idx="40">
                <c:v>45780</c:v>
              </c:pt>
              <c:pt idx="41">
                <c:v>45779</c:v>
              </c:pt>
              <c:pt idx="42">
                <c:v>45778</c:v>
              </c:pt>
              <c:pt idx="43">
                <c:v>45777</c:v>
              </c:pt>
              <c:pt idx="44">
                <c:v>45776</c:v>
              </c:pt>
              <c:pt idx="45">
                <c:v>45775</c:v>
              </c:pt>
              <c:pt idx="46">
                <c:v>45774</c:v>
              </c:pt>
              <c:pt idx="47">
                <c:v>45773</c:v>
              </c:pt>
              <c:pt idx="48">
                <c:v>45772</c:v>
              </c:pt>
              <c:pt idx="49">
                <c:v>45771</c:v>
              </c:pt>
              <c:pt idx="50">
                <c:v>45770</c:v>
              </c:pt>
              <c:pt idx="51">
                <c:v>45769</c:v>
              </c:pt>
              <c:pt idx="52">
                <c:v>45768</c:v>
              </c:pt>
              <c:pt idx="53">
                <c:v>45767</c:v>
              </c:pt>
              <c:pt idx="54">
                <c:v>45766</c:v>
              </c:pt>
              <c:pt idx="55">
                <c:v>45765</c:v>
              </c:pt>
              <c:pt idx="56">
                <c:v>45764</c:v>
              </c:pt>
              <c:pt idx="57">
                <c:v>45763</c:v>
              </c:pt>
              <c:pt idx="58">
                <c:v>45762</c:v>
              </c:pt>
              <c:pt idx="59">
                <c:v>45761</c:v>
              </c:pt>
              <c:pt idx="60">
                <c:v>45760</c:v>
              </c:pt>
              <c:pt idx="61">
                <c:v>45759</c:v>
              </c:pt>
              <c:pt idx="62">
                <c:v>45758</c:v>
              </c:pt>
              <c:pt idx="63">
                <c:v>45757</c:v>
              </c:pt>
              <c:pt idx="64">
                <c:v>45756</c:v>
              </c:pt>
              <c:pt idx="65">
                <c:v>45755</c:v>
              </c:pt>
              <c:pt idx="66">
                <c:v>45754</c:v>
              </c:pt>
              <c:pt idx="67">
                <c:v>45753</c:v>
              </c:pt>
              <c:pt idx="68">
                <c:v>45752</c:v>
              </c:pt>
              <c:pt idx="69">
                <c:v>45751</c:v>
              </c:pt>
              <c:pt idx="70">
                <c:v>45750</c:v>
              </c:pt>
              <c:pt idx="71">
                <c:v>45749</c:v>
              </c:pt>
              <c:pt idx="72">
                <c:v>45748</c:v>
              </c:pt>
              <c:pt idx="73">
                <c:v>45747</c:v>
              </c:pt>
              <c:pt idx="74">
                <c:v>45746</c:v>
              </c:pt>
              <c:pt idx="75">
                <c:v>45745</c:v>
              </c:pt>
              <c:pt idx="76">
                <c:v>45744</c:v>
              </c:pt>
              <c:pt idx="77">
                <c:v>45743</c:v>
              </c:pt>
              <c:pt idx="78">
                <c:v>45742</c:v>
              </c:pt>
              <c:pt idx="79">
                <c:v>45741</c:v>
              </c:pt>
              <c:pt idx="80">
                <c:v>45740</c:v>
              </c:pt>
              <c:pt idx="81">
                <c:v>45739</c:v>
              </c:pt>
              <c:pt idx="82">
                <c:v>45738</c:v>
              </c:pt>
              <c:pt idx="83">
                <c:v>45737</c:v>
              </c:pt>
              <c:pt idx="84">
                <c:v>45736</c:v>
              </c:pt>
              <c:pt idx="85">
                <c:v>45735</c:v>
              </c:pt>
              <c:pt idx="86">
                <c:v>45734</c:v>
              </c:pt>
              <c:pt idx="87">
                <c:v>45733</c:v>
              </c:pt>
              <c:pt idx="88">
                <c:v>45732</c:v>
              </c:pt>
              <c:pt idx="89">
                <c:v>45731</c:v>
              </c:pt>
              <c:pt idx="90">
                <c:v>45730</c:v>
              </c:pt>
              <c:pt idx="91">
                <c:v>45729</c:v>
              </c:pt>
              <c:pt idx="92">
                <c:v>45728</c:v>
              </c:pt>
              <c:pt idx="93">
                <c:v>45727</c:v>
              </c:pt>
              <c:pt idx="94">
                <c:v>45726</c:v>
              </c:pt>
              <c:pt idx="95">
                <c:v>45725</c:v>
              </c:pt>
              <c:pt idx="96">
                <c:v>45724</c:v>
              </c:pt>
              <c:pt idx="97">
                <c:v>45723</c:v>
              </c:pt>
              <c:pt idx="98">
                <c:v>45722</c:v>
              </c:pt>
              <c:pt idx="99">
                <c:v>45721</c:v>
              </c:pt>
              <c:pt idx="100">
                <c:v>45720</c:v>
              </c:pt>
              <c:pt idx="101">
                <c:v>45719</c:v>
              </c:pt>
              <c:pt idx="102">
                <c:v>45718</c:v>
              </c:pt>
              <c:pt idx="103">
                <c:v>45717</c:v>
              </c:pt>
              <c:pt idx="104">
                <c:v>45716</c:v>
              </c:pt>
              <c:pt idx="105">
                <c:v>45715</c:v>
              </c:pt>
              <c:pt idx="106">
                <c:v>45714</c:v>
              </c:pt>
              <c:pt idx="107">
                <c:v>45713</c:v>
              </c:pt>
              <c:pt idx="108">
                <c:v>45712</c:v>
              </c:pt>
              <c:pt idx="109">
                <c:v>45711</c:v>
              </c:pt>
              <c:pt idx="110">
                <c:v>45710</c:v>
              </c:pt>
              <c:pt idx="111">
                <c:v>45709</c:v>
              </c:pt>
              <c:pt idx="112">
                <c:v>45708</c:v>
              </c:pt>
              <c:pt idx="113">
                <c:v>45707</c:v>
              </c:pt>
              <c:pt idx="114">
                <c:v>45706</c:v>
              </c:pt>
              <c:pt idx="115">
                <c:v>45705</c:v>
              </c:pt>
              <c:pt idx="116">
                <c:v>45704</c:v>
              </c:pt>
              <c:pt idx="117">
                <c:v>45703</c:v>
              </c:pt>
              <c:pt idx="118">
                <c:v>45702</c:v>
              </c:pt>
              <c:pt idx="119">
                <c:v>45701</c:v>
              </c:pt>
              <c:pt idx="120">
                <c:v>45700</c:v>
              </c:pt>
              <c:pt idx="121">
                <c:v>45699</c:v>
              </c:pt>
              <c:pt idx="122">
                <c:v>45698</c:v>
              </c:pt>
              <c:pt idx="123">
                <c:v>45697</c:v>
              </c:pt>
              <c:pt idx="124">
                <c:v>45696</c:v>
              </c:pt>
              <c:pt idx="125">
                <c:v>45695</c:v>
              </c:pt>
              <c:pt idx="126">
                <c:v>45694</c:v>
              </c:pt>
              <c:pt idx="127">
                <c:v>45693</c:v>
              </c:pt>
              <c:pt idx="128">
                <c:v>45692</c:v>
              </c:pt>
              <c:pt idx="129">
                <c:v>45691</c:v>
              </c:pt>
              <c:pt idx="130">
                <c:v>45690</c:v>
              </c:pt>
              <c:pt idx="131">
                <c:v>45689</c:v>
              </c:pt>
              <c:pt idx="132">
                <c:v>45688</c:v>
              </c:pt>
              <c:pt idx="133">
                <c:v>45687</c:v>
              </c:pt>
              <c:pt idx="134">
                <c:v>45686</c:v>
              </c:pt>
              <c:pt idx="135">
                <c:v>45685</c:v>
              </c:pt>
              <c:pt idx="136">
                <c:v>45684</c:v>
              </c:pt>
              <c:pt idx="137">
                <c:v>45683</c:v>
              </c:pt>
              <c:pt idx="138">
                <c:v>45682</c:v>
              </c:pt>
              <c:pt idx="139">
                <c:v>45681</c:v>
              </c:pt>
              <c:pt idx="140">
                <c:v>45680</c:v>
              </c:pt>
              <c:pt idx="141">
                <c:v>45679</c:v>
              </c:pt>
              <c:pt idx="142">
                <c:v>45678</c:v>
              </c:pt>
              <c:pt idx="143">
                <c:v>45677</c:v>
              </c:pt>
              <c:pt idx="144">
                <c:v>45676</c:v>
              </c:pt>
              <c:pt idx="145">
                <c:v>45675</c:v>
              </c:pt>
              <c:pt idx="146">
                <c:v>45674</c:v>
              </c:pt>
              <c:pt idx="147">
                <c:v>45673</c:v>
              </c:pt>
              <c:pt idx="148">
                <c:v>45672</c:v>
              </c:pt>
              <c:pt idx="149">
                <c:v>45671</c:v>
              </c:pt>
              <c:pt idx="150">
                <c:v>45670</c:v>
              </c:pt>
              <c:pt idx="151">
                <c:v>45669</c:v>
              </c:pt>
              <c:pt idx="152">
                <c:v>45668</c:v>
              </c:pt>
              <c:pt idx="153">
                <c:v>45667</c:v>
              </c:pt>
              <c:pt idx="154">
                <c:v>45666</c:v>
              </c:pt>
              <c:pt idx="155">
                <c:v>45665</c:v>
              </c:pt>
              <c:pt idx="156">
                <c:v>45664</c:v>
              </c:pt>
              <c:pt idx="157">
                <c:v>45663</c:v>
              </c:pt>
              <c:pt idx="158">
                <c:v>45662</c:v>
              </c:pt>
              <c:pt idx="159">
                <c:v>45661</c:v>
              </c:pt>
              <c:pt idx="160">
                <c:v>45660</c:v>
              </c:pt>
              <c:pt idx="161">
                <c:v>45659</c:v>
              </c:pt>
              <c:pt idx="162">
                <c:v>45658</c:v>
              </c:pt>
              <c:pt idx="163">
                <c:v>45657</c:v>
              </c:pt>
              <c:pt idx="164">
                <c:v>45656</c:v>
              </c:pt>
              <c:pt idx="165">
                <c:v>45655</c:v>
              </c:pt>
              <c:pt idx="166">
                <c:v>45654</c:v>
              </c:pt>
              <c:pt idx="167">
                <c:v>45653</c:v>
              </c:pt>
              <c:pt idx="168">
                <c:v>45652</c:v>
              </c:pt>
              <c:pt idx="169">
                <c:v>45651</c:v>
              </c:pt>
              <c:pt idx="170">
                <c:v>45650</c:v>
              </c:pt>
              <c:pt idx="171">
                <c:v>45649</c:v>
              </c:pt>
              <c:pt idx="172">
                <c:v>45648</c:v>
              </c:pt>
              <c:pt idx="173">
                <c:v>45647</c:v>
              </c:pt>
              <c:pt idx="174">
                <c:v>45646</c:v>
              </c:pt>
              <c:pt idx="175">
                <c:v>45645</c:v>
              </c:pt>
              <c:pt idx="176">
                <c:v>45644</c:v>
              </c:pt>
              <c:pt idx="177">
                <c:v>45643</c:v>
              </c:pt>
              <c:pt idx="178">
                <c:v>45642</c:v>
              </c:pt>
              <c:pt idx="179">
                <c:v>45641</c:v>
              </c:pt>
              <c:pt idx="180">
                <c:v>45640</c:v>
              </c:pt>
              <c:pt idx="181">
                <c:v>45639</c:v>
              </c:pt>
              <c:pt idx="182">
                <c:v>45638</c:v>
              </c:pt>
              <c:pt idx="183">
                <c:v>45637</c:v>
              </c:pt>
              <c:pt idx="184">
                <c:v>45636</c:v>
              </c:pt>
              <c:pt idx="185">
                <c:v>45635</c:v>
              </c:pt>
              <c:pt idx="186">
                <c:v>45634</c:v>
              </c:pt>
              <c:pt idx="187">
                <c:v>45633</c:v>
              </c:pt>
              <c:pt idx="188">
                <c:v>45632</c:v>
              </c:pt>
              <c:pt idx="189">
                <c:v>45631</c:v>
              </c:pt>
              <c:pt idx="190">
                <c:v>45630</c:v>
              </c:pt>
              <c:pt idx="191">
                <c:v>45629</c:v>
              </c:pt>
              <c:pt idx="192">
                <c:v>45628</c:v>
              </c:pt>
              <c:pt idx="193">
                <c:v>45627</c:v>
              </c:pt>
              <c:pt idx="194">
                <c:v>45626</c:v>
              </c:pt>
              <c:pt idx="195">
                <c:v>45625</c:v>
              </c:pt>
              <c:pt idx="196">
                <c:v>45624</c:v>
              </c:pt>
              <c:pt idx="197">
                <c:v>45623</c:v>
              </c:pt>
              <c:pt idx="198">
                <c:v>45622</c:v>
              </c:pt>
              <c:pt idx="199">
                <c:v>45621</c:v>
              </c:pt>
              <c:pt idx="200">
                <c:v>45620</c:v>
              </c:pt>
              <c:pt idx="201">
                <c:v>45619</c:v>
              </c:pt>
              <c:pt idx="202">
                <c:v>45618</c:v>
              </c:pt>
              <c:pt idx="203">
                <c:v>45617</c:v>
              </c:pt>
              <c:pt idx="204">
                <c:v>45616</c:v>
              </c:pt>
              <c:pt idx="205">
                <c:v>45615</c:v>
              </c:pt>
              <c:pt idx="206">
                <c:v>45614</c:v>
              </c:pt>
              <c:pt idx="207">
                <c:v>45613</c:v>
              </c:pt>
              <c:pt idx="208">
                <c:v>45612</c:v>
              </c:pt>
              <c:pt idx="209">
                <c:v>45611</c:v>
              </c:pt>
              <c:pt idx="210">
                <c:v>45610</c:v>
              </c:pt>
              <c:pt idx="211">
                <c:v>45609</c:v>
              </c:pt>
              <c:pt idx="212">
                <c:v>45608</c:v>
              </c:pt>
              <c:pt idx="213">
                <c:v>45607</c:v>
              </c:pt>
              <c:pt idx="214">
                <c:v>45606</c:v>
              </c:pt>
              <c:pt idx="215">
                <c:v>45605</c:v>
              </c:pt>
              <c:pt idx="216">
                <c:v>45604</c:v>
              </c:pt>
              <c:pt idx="217">
                <c:v>45603</c:v>
              </c:pt>
              <c:pt idx="218">
                <c:v>45602</c:v>
              </c:pt>
              <c:pt idx="219">
                <c:v>45601</c:v>
              </c:pt>
              <c:pt idx="220">
                <c:v>45600</c:v>
              </c:pt>
              <c:pt idx="221">
                <c:v>45599</c:v>
              </c:pt>
              <c:pt idx="222">
                <c:v>45598</c:v>
              </c:pt>
              <c:pt idx="223">
                <c:v>45597</c:v>
              </c:pt>
              <c:pt idx="224">
                <c:v>45596</c:v>
              </c:pt>
              <c:pt idx="225">
                <c:v>45595</c:v>
              </c:pt>
              <c:pt idx="226">
                <c:v>45594</c:v>
              </c:pt>
              <c:pt idx="227">
                <c:v>45593</c:v>
              </c:pt>
              <c:pt idx="228">
                <c:v>45592</c:v>
              </c:pt>
              <c:pt idx="229">
                <c:v>45591</c:v>
              </c:pt>
              <c:pt idx="230">
                <c:v>45590</c:v>
              </c:pt>
              <c:pt idx="231">
                <c:v>45589</c:v>
              </c:pt>
              <c:pt idx="232">
                <c:v>45588</c:v>
              </c:pt>
              <c:pt idx="233">
                <c:v>45587</c:v>
              </c:pt>
              <c:pt idx="234">
                <c:v>45586</c:v>
              </c:pt>
              <c:pt idx="235">
                <c:v>45585</c:v>
              </c:pt>
              <c:pt idx="236">
                <c:v>45584</c:v>
              </c:pt>
              <c:pt idx="237">
                <c:v>45583</c:v>
              </c:pt>
              <c:pt idx="238">
                <c:v>45582</c:v>
              </c:pt>
              <c:pt idx="239">
                <c:v>45581</c:v>
              </c:pt>
              <c:pt idx="240">
                <c:v>45580</c:v>
              </c:pt>
              <c:pt idx="241">
                <c:v>45579</c:v>
              </c:pt>
              <c:pt idx="242">
                <c:v>45578</c:v>
              </c:pt>
              <c:pt idx="243">
                <c:v>45577</c:v>
              </c:pt>
              <c:pt idx="244">
                <c:v>45576</c:v>
              </c:pt>
              <c:pt idx="245">
                <c:v>45575</c:v>
              </c:pt>
              <c:pt idx="246">
                <c:v>45574</c:v>
              </c:pt>
              <c:pt idx="247">
                <c:v>45573</c:v>
              </c:pt>
              <c:pt idx="248">
                <c:v>45572</c:v>
              </c:pt>
              <c:pt idx="249">
                <c:v>45571</c:v>
              </c:pt>
              <c:pt idx="250">
                <c:v>45570</c:v>
              </c:pt>
              <c:pt idx="251">
                <c:v>45569</c:v>
              </c:pt>
              <c:pt idx="252">
                <c:v>45568</c:v>
              </c:pt>
              <c:pt idx="253">
                <c:v>45567</c:v>
              </c:pt>
              <c:pt idx="254">
                <c:v>45566</c:v>
              </c:pt>
              <c:pt idx="255">
                <c:v>45565</c:v>
              </c:pt>
              <c:pt idx="256">
                <c:v>45564</c:v>
              </c:pt>
              <c:pt idx="257">
                <c:v>45563</c:v>
              </c:pt>
              <c:pt idx="258">
                <c:v>45562</c:v>
              </c:pt>
              <c:pt idx="259">
                <c:v>45561</c:v>
              </c:pt>
              <c:pt idx="260">
                <c:v>45560</c:v>
              </c:pt>
              <c:pt idx="261">
                <c:v>45559</c:v>
              </c:pt>
              <c:pt idx="262">
                <c:v>45558</c:v>
              </c:pt>
              <c:pt idx="263">
                <c:v>45557</c:v>
              </c:pt>
              <c:pt idx="264">
                <c:v>45556</c:v>
              </c:pt>
              <c:pt idx="265">
                <c:v>45555</c:v>
              </c:pt>
              <c:pt idx="266">
                <c:v>45554</c:v>
              </c:pt>
              <c:pt idx="267">
                <c:v>45553</c:v>
              </c:pt>
              <c:pt idx="268">
                <c:v>45552</c:v>
              </c:pt>
              <c:pt idx="269">
                <c:v>45551</c:v>
              </c:pt>
              <c:pt idx="270">
                <c:v>45550</c:v>
              </c:pt>
              <c:pt idx="271">
                <c:v>45549</c:v>
              </c:pt>
              <c:pt idx="272">
                <c:v>45548</c:v>
              </c:pt>
              <c:pt idx="273">
                <c:v>45547</c:v>
              </c:pt>
              <c:pt idx="274">
                <c:v>45546</c:v>
              </c:pt>
              <c:pt idx="275">
                <c:v>45545</c:v>
              </c:pt>
              <c:pt idx="276">
                <c:v>45544</c:v>
              </c:pt>
              <c:pt idx="277">
                <c:v>45543</c:v>
              </c:pt>
              <c:pt idx="278">
                <c:v>45542</c:v>
              </c:pt>
              <c:pt idx="279">
                <c:v>45541</c:v>
              </c:pt>
              <c:pt idx="280">
                <c:v>45540</c:v>
              </c:pt>
              <c:pt idx="281">
                <c:v>45539</c:v>
              </c:pt>
              <c:pt idx="282">
                <c:v>45538</c:v>
              </c:pt>
              <c:pt idx="283">
                <c:v>45537</c:v>
              </c:pt>
              <c:pt idx="284">
                <c:v>45536</c:v>
              </c:pt>
              <c:pt idx="285">
                <c:v>45535</c:v>
              </c:pt>
              <c:pt idx="286">
                <c:v>45534</c:v>
              </c:pt>
              <c:pt idx="287">
                <c:v>45533</c:v>
              </c:pt>
              <c:pt idx="288">
                <c:v>45532</c:v>
              </c:pt>
              <c:pt idx="289">
                <c:v>45531</c:v>
              </c:pt>
              <c:pt idx="290">
                <c:v>45530</c:v>
              </c:pt>
              <c:pt idx="291">
                <c:v>45529</c:v>
              </c:pt>
              <c:pt idx="292">
                <c:v>45528</c:v>
              </c:pt>
              <c:pt idx="293">
                <c:v>45527</c:v>
              </c:pt>
              <c:pt idx="294">
                <c:v>45526</c:v>
              </c:pt>
              <c:pt idx="295">
                <c:v>45525</c:v>
              </c:pt>
              <c:pt idx="296">
                <c:v>45524</c:v>
              </c:pt>
              <c:pt idx="297">
                <c:v>45523</c:v>
              </c:pt>
              <c:pt idx="298">
                <c:v>45522</c:v>
              </c:pt>
              <c:pt idx="299">
                <c:v>45521</c:v>
              </c:pt>
              <c:pt idx="300">
                <c:v>45520</c:v>
              </c:pt>
              <c:pt idx="301">
                <c:v>45519</c:v>
              </c:pt>
              <c:pt idx="302">
                <c:v>45518</c:v>
              </c:pt>
              <c:pt idx="303">
                <c:v>45517</c:v>
              </c:pt>
              <c:pt idx="304">
                <c:v>45516</c:v>
              </c:pt>
              <c:pt idx="305">
                <c:v>45515</c:v>
              </c:pt>
              <c:pt idx="306">
                <c:v>45514</c:v>
              </c:pt>
              <c:pt idx="307">
                <c:v>45513</c:v>
              </c:pt>
              <c:pt idx="308">
                <c:v>45512</c:v>
              </c:pt>
              <c:pt idx="309">
                <c:v>45511</c:v>
              </c:pt>
              <c:pt idx="310">
                <c:v>45510</c:v>
              </c:pt>
              <c:pt idx="311">
                <c:v>45509</c:v>
              </c:pt>
              <c:pt idx="312">
                <c:v>45508</c:v>
              </c:pt>
              <c:pt idx="313">
                <c:v>45507</c:v>
              </c:pt>
              <c:pt idx="314">
                <c:v>45506</c:v>
              </c:pt>
              <c:pt idx="315">
                <c:v>45505</c:v>
              </c:pt>
              <c:pt idx="316">
                <c:v>45504</c:v>
              </c:pt>
              <c:pt idx="317">
                <c:v>45503</c:v>
              </c:pt>
              <c:pt idx="318">
                <c:v>45502</c:v>
              </c:pt>
              <c:pt idx="319">
                <c:v>45501</c:v>
              </c:pt>
              <c:pt idx="320">
                <c:v>45500</c:v>
              </c:pt>
              <c:pt idx="321">
                <c:v>45499</c:v>
              </c:pt>
              <c:pt idx="322">
                <c:v>45498</c:v>
              </c:pt>
              <c:pt idx="323">
                <c:v>45497</c:v>
              </c:pt>
              <c:pt idx="324">
                <c:v>45496</c:v>
              </c:pt>
              <c:pt idx="325">
                <c:v>45495</c:v>
              </c:pt>
              <c:pt idx="326">
                <c:v>45494</c:v>
              </c:pt>
              <c:pt idx="327">
                <c:v>45493</c:v>
              </c:pt>
              <c:pt idx="328">
                <c:v>45492</c:v>
              </c:pt>
              <c:pt idx="329">
                <c:v>45491</c:v>
              </c:pt>
              <c:pt idx="330">
                <c:v>45490</c:v>
              </c:pt>
              <c:pt idx="331">
                <c:v>45489</c:v>
              </c:pt>
              <c:pt idx="332">
                <c:v>45488</c:v>
              </c:pt>
              <c:pt idx="333">
                <c:v>45487</c:v>
              </c:pt>
              <c:pt idx="334">
                <c:v>45486</c:v>
              </c:pt>
              <c:pt idx="335">
                <c:v>45485</c:v>
              </c:pt>
              <c:pt idx="336">
                <c:v>45484</c:v>
              </c:pt>
              <c:pt idx="337">
                <c:v>45483</c:v>
              </c:pt>
              <c:pt idx="338">
                <c:v>45482</c:v>
              </c:pt>
              <c:pt idx="339">
                <c:v>45481</c:v>
              </c:pt>
              <c:pt idx="340">
                <c:v>45480</c:v>
              </c:pt>
              <c:pt idx="341">
                <c:v>45479</c:v>
              </c:pt>
              <c:pt idx="342">
                <c:v>45478</c:v>
              </c:pt>
              <c:pt idx="343">
                <c:v>45477</c:v>
              </c:pt>
              <c:pt idx="344">
                <c:v>45476</c:v>
              </c:pt>
              <c:pt idx="345">
                <c:v>45475</c:v>
              </c:pt>
              <c:pt idx="346">
                <c:v>45474</c:v>
              </c:pt>
              <c:pt idx="347">
                <c:v>45473</c:v>
              </c:pt>
              <c:pt idx="348">
                <c:v>45472</c:v>
              </c:pt>
              <c:pt idx="349">
                <c:v>45471</c:v>
              </c:pt>
              <c:pt idx="350">
                <c:v>45470</c:v>
              </c:pt>
              <c:pt idx="351">
                <c:v>45469</c:v>
              </c:pt>
              <c:pt idx="352">
                <c:v>45468</c:v>
              </c:pt>
              <c:pt idx="353">
                <c:v>45467</c:v>
              </c:pt>
              <c:pt idx="354">
                <c:v>45466</c:v>
              </c:pt>
              <c:pt idx="355">
                <c:v>45465</c:v>
              </c:pt>
              <c:pt idx="356">
                <c:v>45464</c:v>
              </c:pt>
              <c:pt idx="357">
                <c:v>45463</c:v>
              </c:pt>
              <c:pt idx="358">
                <c:v>45462</c:v>
              </c:pt>
              <c:pt idx="359">
                <c:v>45461</c:v>
              </c:pt>
              <c:pt idx="360">
                <c:v>45460</c:v>
              </c:pt>
              <c:pt idx="361">
                <c:v>45459</c:v>
              </c:pt>
              <c:pt idx="362">
                <c:v>45458</c:v>
              </c:pt>
              <c:pt idx="363">
                <c:v>45457</c:v>
              </c:pt>
              <c:pt idx="364">
                <c:v>45456</c:v>
              </c:pt>
              <c:pt idx="365">
                <c:v>45455</c:v>
              </c:pt>
              <c:pt idx="366">
                <c:v>45454</c:v>
              </c:pt>
              <c:pt idx="367">
                <c:v>45453</c:v>
              </c:pt>
              <c:pt idx="368">
                <c:v>45452</c:v>
              </c:pt>
              <c:pt idx="369">
                <c:v>45451</c:v>
              </c:pt>
              <c:pt idx="370">
                <c:v>45450</c:v>
              </c:pt>
              <c:pt idx="371">
                <c:v>45449</c:v>
              </c:pt>
              <c:pt idx="372">
                <c:v>45448</c:v>
              </c:pt>
              <c:pt idx="373">
                <c:v>45447</c:v>
              </c:pt>
              <c:pt idx="374">
                <c:v>45446</c:v>
              </c:pt>
              <c:pt idx="375">
                <c:v>45445</c:v>
              </c:pt>
              <c:pt idx="376">
                <c:v>45444</c:v>
              </c:pt>
              <c:pt idx="377">
                <c:v>45443</c:v>
              </c:pt>
              <c:pt idx="378">
                <c:v>45442</c:v>
              </c:pt>
              <c:pt idx="379">
                <c:v>45441</c:v>
              </c:pt>
              <c:pt idx="380">
                <c:v>45440</c:v>
              </c:pt>
              <c:pt idx="381">
                <c:v>45439</c:v>
              </c:pt>
              <c:pt idx="382">
                <c:v>45438</c:v>
              </c:pt>
              <c:pt idx="383">
                <c:v>45437</c:v>
              </c:pt>
              <c:pt idx="384">
                <c:v>45436</c:v>
              </c:pt>
              <c:pt idx="385">
                <c:v>45435</c:v>
              </c:pt>
              <c:pt idx="386">
                <c:v>45434</c:v>
              </c:pt>
              <c:pt idx="387">
                <c:v>45433</c:v>
              </c:pt>
              <c:pt idx="388">
                <c:v>45432</c:v>
              </c:pt>
              <c:pt idx="389">
                <c:v>45431</c:v>
              </c:pt>
              <c:pt idx="390">
                <c:v>45430</c:v>
              </c:pt>
              <c:pt idx="391">
                <c:v>45429</c:v>
              </c:pt>
              <c:pt idx="392">
                <c:v>45428</c:v>
              </c:pt>
              <c:pt idx="393">
                <c:v>45427</c:v>
              </c:pt>
              <c:pt idx="394">
                <c:v>45426</c:v>
              </c:pt>
              <c:pt idx="395">
                <c:v>45425</c:v>
              </c:pt>
              <c:pt idx="396">
                <c:v>45424</c:v>
              </c:pt>
            </c:numLit>
          </c:cat>
          <c:val>
            <c:numLit>
              <c:formatCode>General</c:formatCode>
              <c:ptCount val="550"/>
              <c:pt idx="0">
                <c:v>97.050003051757813</c:v>
              </c:pt>
              <c:pt idx="1">
                <c:v>97.05</c:v>
              </c:pt>
              <c:pt idx="2">
                <c:v>97.25</c:v>
              </c:pt>
              <c:pt idx="3">
                <c:v>98.22</c:v>
              </c:pt>
              <c:pt idx="4">
                <c:v>96.8</c:v>
              </c:pt>
              <c:pt idx="5">
                <c:v>96.8</c:v>
              </c:pt>
              <c:pt idx="6">
                <c:v>96.8</c:v>
              </c:pt>
              <c:pt idx="7">
                <c:v>96.8</c:v>
              </c:pt>
              <c:pt idx="8">
                <c:v>93.5</c:v>
              </c:pt>
              <c:pt idx="9">
                <c:v>92.4</c:v>
              </c:pt>
              <c:pt idx="10">
                <c:v>92.75</c:v>
              </c:pt>
              <c:pt idx="11">
                <c:v>90.6</c:v>
              </c:pt>
              <c:pt idx="12">
                <c:v>90.6</c:v>
              </c:pt>
              <c:pt idx="13">
                <c:v>90.6</c:v>
              </c:pt>
              <c:pt idx="14">
                <c:v>91.7</c:v>
              </c:pt>
              <c:pt idx="15">
                <c:v>91.7</c:v>
              </c:pt>
              <c:pt idx="16">
                <c:v>92.65</c:v>
              </c:pt>
              <c:pt idx="17">
                <c:v>92.43</c:v>
              </c:pt>
              <c:pt idx="18">
                <c:v>92.43</c:v>
              </c:pt>
              <c:pt idx="19">
                <c:v>92.43</c:v>
              </c:pt>
              <c:pt idx="20">
                <c:v>92.43</c:v>
              </c:pt>
              <c:pt idx="21">
                <c:v>90.45</c:v>
              </c:pt>
              <c:pt idx="22">
                <c:v>90.4</c:v>
              </c:pt>
              <c:pt idx="23">
                <c:v>91.99</c:v>
              </c:pt>
              <c:pt idx="24">
                <c:v>92.2</c:v>
              </c:pt>
              <c:pt idx="25">
                <c:v>92.2</c:v>
              </c:pt>
              <c:pt idx="26">
                <c:v>92.2</c:v>
              </c:pt>
              <c:pt idx="27">
                <c:v>92.2</c:v>
              </c:pt>
              <c:pt idx="28">
                <c:v>92.2</c:v>
              </c:pt>
              <c:pt idx="29">
                <c:v>93.3</c:v>
              </c:pt>
              <c:pt idx="30">
                <c:v>93.66</c:v>
              </c:pt>
              <c:pt idx="31">
                <c:v>92</c:v>
              </c:pt>
              <c:pt idx="32">
                <c:v>89.06</c:v>
              </c:pt>
              <c:pt idx="33">
                <c:v>89.06</c:v>
              </c:pt>
              <c:pt idx="34">
                <c:v>89.06</c:v>
              </c:pt>
              <c:pt idx="35">
                <c:v>88.5</c:v>
              </c:pt>
              <c:pt idx="36">
                <c:v>87.8</c:v>
              </c:pt>
              <c:pt idx="37">
                <c:v>90</c:v>
              </c:pt>
              <c:pt idx="38">
                <c:v>89.4</c:v>
              </c:pt>
              <c:pt idx="39">
                <c:v>89.9</c:v>
              </c:pt>
              <c:pt idx="40">
                <c:v>89.9</c:v>
              </c:pt>
              <c:pt idx="41">
                <c:v>89.9</c:v>
              </c:pt>
              <c:pt idx="42">
                <c:v>88.226557084859877</c:v>
              </c:pt>
              <c:pt idx="43">
                <c:v>88.226557084859877</c:v>
              </c:pt>
              <c:pt idx="44">
                <c:v>92.088325576789785</c:v>
              </c:pt>
              <c:pt idx="45">
                <c:v>93.573621150608972</c:v>
              </c:pt>
              <c:pt idx="46">
                <c:v>93.444895534211312</c:v>
              </c:pt>
              <c:pt idx="47">
                <c:v>93.444895534211312</c:v>
              </c:pt>
              <c:pt idx="48">
                <c:v>93.444895534211312</c:v>
              </c:pt>
              <c:pt idx="49">
                <c:v>95.058916724428158</c:v>
              </c:pt>
              <c:pt idx="50">
                <c:v>91.365481730864431</c:v>
              </c:pt>
              <c:pt idx="51">
                <c:v>87.711654619269225</c:v>
              </c:pt>
              <c:pt idx="52">
                <c:v>84.642043766709577</c:v>
              </c:pt>
              <c:pt idx="53">
                <c:v>84.92920091098128</c:v>
              </c:pt>
              <c:pt idx="54">
                <c:v>84.92920091098128</c:v>
              </c:pt>
              <c:pt idx="55">
                <c:v>84.92920091098128</c:v>
              </c:pt>
              <c:pt idx="56">
                <c:v>84.92920091098128</c:v>
              </c:pt>
              <c:pt idx="57">
                <c:v>84.92920091098128</c:v>
              </c:pt>
              <c:pt idx="58">
                <c:v>85.661946727398757</c:v>
              </c:pt>
              <c:pt idx="59">
                <c:v>87.731458560253486</c:v>
              </c:pt>
              <c:pt idx="60">
                <c:v>84.216259035548063</c:v>
              </c:pt>
              <c:pt idx="61">
                <c:v>84.216259035548063</c:v>
              </c:pt>
              <c:pt idx="62">
                <c:v>84.216259035548063</c:v>
              </c:pt>
              <c:pt idx="63">
                <c:v>81.097138330527784</c:v>
              </c:pt>
              <c:pt idx="64">
                <c:v>81.39419744529161</c:v>
              </c:pt>
              <c:pt idx="65">
                <c:v>77.235369838597876</c:v>
              </c:pt>
              <c:pt idx="66">
                <c:v>78.720665412417063</c:v>
              </c:pt>
              <c:pt idx="67">
                <c:v>77.255173779582137</c:v>
              </c:pt>
              <c:pt idx="68">
                <c:v>77.255173779582137</c:v>
              </c:pt>
              <c:pt idx="69">
                <c:v>77.255173779582137</c:v>
              </c:pt>
              <c:pt idx="70">
                <c:v>87.295771858599849</c:v>
              </c:pt>
              <c:pt idx="71">
                <c:v>92.236855134171705</c:v>
              </c:pt>
              <c:pt idx="72">
                <c:v>92.236855134171705</c:v>
              </c:pt>
              <c:pt idx="73">
                <c:v>92.385384691553611</c:v>
              </c:pt>
              <c:pt idx="74">
                <c:v>93.573621150608972</c:v>
              </c:pt>
              <c:pt idx="75">
                <c:v>93.573621150608972</c:v>
              </c:pt>
              <c:pt idx="76">
                <c:v>93.573621150608972</c:v>
              </c:pt>
              <c:pt idx="77">
                <c:v>94.583622140806014</c:v>
              </c:pt>
              <c:pt idx="78">
                <c:v>96.16793741954649</c:v>
              </c:pt>
              <c:pt idx="79">
                <c:v>100.60402020001979</c:v>
              </c:pt>
              <c:pt idx="80">
                <c:v>99.019704921279327</c:v>
              </c:pt>
              <c:pt idx="81">
                <c:v>100.00990197049212</c:v>
              </c:pt>
              <c:pt idx="82">
                <c:v>100.00990197049212</c:v>
              </c:pt>
              <c:pt idx="83">
                <c:v>100.00990197049212</c:v>
              </c:pt>
              <c:pt idx="84">
                <c:v>98.772155658976132</c:v>
              </c:pt>
              <c:pt idx="85">
                <c:v>98.772155658976132</c:v>
              </c:pt>
              <c:pt idx="86">
                <c:v>97.732448757302706</c:v>
              </c:pt>
              <c:pt idx="87">
                <c:v>97.138330527775025</c:v>
              </c:pt>
              <c:pt idx="88">
                <c:v>94.563818199821768</c:v>
              </c:pt>
              <c:pt idx="89">
                <c:v>94.563818199821768</c:v>
              </c:pt>
              <c:pt idx="90">
                <c:v>94.563818199821768</c:v>
              </c:pt>
              <c:pt idx="91">
                <c:v>91.296167937419554</c:v>
              </c:pt>
              <c:pt idx="92">
                <c:v>89.464303396375868</c:v>
              </c:pt>
              <c:pt idx="93">
                <c:v>88.028517675017326</c:v>
              </c:pt>
              <c:pt idx="94">
                <c:v>89.602930983265665</c:v>
              </c:pt>
              <c:pt idx="95">
                <c:v>89.117734429151398</c:v>
              </c:pt>
              <c:pt idx="96">
                <c:v>89.117734429151398</c:v>
              </c:pt>
              <c:pt idx="97">
                <c:v>89.117734429151398</c:v>
              </c:pt>
              <c:pt idx="98">
                <c:v>90.107931478364193</c:v>
              </c:pt>
              <c:pt idx="99">
                <c:v>89.147440340627782</c:v>
              </c:pt>
              <c:pt idx="100">
                <c:v>85.454005347064054</c:v>
              </c:pt>
              <c:pt idx="101">
                <c:v>89.929696009505889</c:v>
              </c:pt>
              <c:pt idx="102">
                <c:v>87.384889593029015</c:v>
              </c:pt>
              <c:pt idx="103">
                <c:v>87.384889593029015</c:v>
              </c:pt>
              <c:pt idx="104">
                <c:v>87.384889593029015</c:v>
              </c:pt>
              <c:pt idx="105">
                <c:v>89.761362511139723</c:v>
              </c:pt>
              <c:pt idx="106">
                <c:v>91.098128527576989</c:v>
              </c:pt>
              <c:pt idx="107">
                <c:v>91.098128527576989</c:v>
              </c:pt>
              <c:pt idx="108">
                <c:v>92.03881572432914</c:v>
              </c:pt>
              <c:pt idx="109">
                <c:v>92.979502921081306</c:v>
              </c:pt>
              <c:pt idx="110">
                <c:v>92.979502921081306</c:v>
              </c:pt>
              <c:pt idx="111">
                <c:v>92.979502921081306</c:v>
              </c:pt>
              <c:pt idx="112">
                <c:v>97.03931082285375</c:v>
              </c:pt>
              <c:pt idx="113">
                <c:v>95.058916724428158</c:v>
              </c:pt>
              <c:pt idx="114">
                <c:v>95.851074363798389</c:v>
              </c:pt>
              <c:pt idx="115">
                <c:v>98.524606396672937</c:v>
              </c:pt>
              <c:pt idx="116">
                <c:v>98.524606396672937</c:v>
              </c:pt>
              <c:pt idx="117">
                <c:v>98.524606396672937</c:v>
              </c:pt>
              <c:pt idx="118">
                <c:v>98.524606396672937</c:v>
              </c:pt>
              <c:pt idx="119">
                <c:v>93.078522626002567</c:v>
              </c:pt>
              <c:pt idx="120">
                <c:v>94.25685711456579</c:v>
              </c:pt>
              <c:pt idx="121">
                <c:v>91.395187642340815</c:v>
              </c:pt>
              <c:pt idx="122">
                <c:v>94.959828208037152</c:v>
              </c:pt>
              <c:pt idx="123">
                <c:v>95.343206396454704</c:v>
              </c:pt>
              <c:pt idx="124">
                <c:v>95.343206396454704</c:v>
              </c:pt>
              <c:pt idx="125">
                <c:v>95.343206396454704</c:v>
              </c:pt>
              <c:pt idx="126">
                <c:v>93.976807212094741</c:v>
              </c:pt>
              <c:pt idx="127">
                <c:v>91.420952622644464</c:v>
              </c:pt>
              <c:pt idx="128">
                <c:v>90.72300771552537</c:v>
              </c:pt>
              <c:pt idx="129">
                <c:v>88.570191734411466</c:v>
              </c:pt>
              <c:pt idx="130">
                <c:v>90.437931626702053</c:v>
              </c:pt>
              <c:pt idx="131">
                <c:v>90.437931626702053</c:v>
              </c:pt>
              <c:pt idx="132">
                <c:v>90.437931626702053</c:v>
              </c:pt>
              <c:pt idx="133">
                <c:v>90.732837925484773</c:v>
              </c:pt>
              <c:pt idx="134">
                <c:v>89.867779449055448</c:v>
              </c:pt>
              <c:pt idx="135">
                <c:v>89.160004331976921</c:v>
              </c:pt>
              <c:pt idx="136">
                <c:v>92.89548411655808</c:v>
              </c:pt>
              <c:pt idx="137">
                <c:v>96.532661801545018</c:v>
              </c:pt>
              <c:pt idx="138">
                <c:v>96.532661801545018</c:v>
              </c:pt>
              <c:pt idx="139">
                <c:v>96.532661801545018</c:v>
              </c:pt>
              <c:pt idx="140">
                <c:v>93.524617553961235</c:v>
              </c:pt>
              <c:pt idx="141">
                <c:v>94.763224008848667</c:v>
              </c:pt>
              <c:pt idx="142">
                <c:v>96.355718022275383</c:v>
              </c:pt>
              <c:pt idx="143">
                <c:v>97.073323349313341</c:v>
              </c:pt>
              <c:pt idx="144">
                <c:v>97.073323349313341</c:v>
              </c:pt>
              <c:pt idx="145">
                <c:v>97.073323349313341</c:v>
              </c:pt>
              <c:pt idx="146">
                <c:v>97.073323349313341</c:v>
              </c:pt>
              <c:pt idx="147">
                <c:v>93.3869946145293</c:v>
              </c:pt>
              <c:pt idx="148">
                <c:v>93.3869946145293</c:v>
              </c:pt>
              <c:pt idx="149">
                <c:v>93.3869946145293</c:v>
              </c:pt>
              <c:pt idx="150">
                <c:v>92.91514453647693</c:v>
              </c:pt>
              <c:pt idx="151">
                <c:v>93.396824824488718</c:v>
              </c:pt>
              <c:pt idx="152">
                <c:v>93.396824824488718</c:v>
              </c:pt>
              <c:pt idx="153">
                <c:v>93.396824824488718</c:v>
              </c:pt>
              <c:pt idx="154">
                <c:v>93.416485244407568</c:v>
              </c:pt>
              <c:pt idx="155">
                <c:v>93.416485244407568</c:v>
              </c:pt>
              <c:pt idx="156">
                <c:v>92.305671518992654</c:v>
              </c:pt>
              <c:pt idx="157">
                <c:v>92.207369419398404</c:v>
              </c:pt>
              <c:pt idx="158">
                <c:v>91.106385903942908</c:v>
              </c:pt>
              <c:pt idx="159">
                <c:v>91.106385903942908</c:v>
              </c:pt>
              <c:pt idx="160">
                <c:v>91.106385903942908</c:v>
              </c:pt>
              <c:pt idx="161">
                <c:v>90.732837925484773</c:v>
              </c:pt>
              <c:pt idx="162">
                <c:v>90.437931626702053</c:v>
              </c:pt>
              <c:pt idx="163">
                <c:v>90.437931626702053</c:v>
              </c:pt>
              <c:pt idx="164">
                <c:v>90.437931626702053</c:v>
              </c:pt>
              <c:pt idx="165">
                <c:v>92.50227571818111</c:v>
              </c:pt>
              <c:pt idx="166">
                <c:v>92.50227571818111</c:v>
              </c:pt>
              <c:pt idx="167">
                <c:v>92.50227571818111</c:v>
              </c:pt>
              <c:pt idx="168">
                <c:v>92.50227571818111</c:v>
              </c:pt>
              <c:pt idx="169">
                <c:v>91.686368291548916</c:v>
              </c:pt>
              <c:pt idx="170">
                <c:v>91.686368291548916</c:v>
              </c:pt>
              <c:pt idx="171">
                <c:v>91.686368291548916</c:v>
              </c:pt>
              <c:pt idx="172">
                <c:v>90.19217637771645</c:v>
              </c:pt>
              <c:pt idx="173">
                <c:v>90.19217637771645</c:v>
              </c:pt>
              <c:pt idx="174">
                <c:v>90.19217637771645</c:v>
              </c:pt>
              <c:pt idx="175">
                <c:v>90.19217637771645</c:v>
              </c:pt>
              <c:pt idx="176">
                <c:v>91.420952622644464</c:v>
              </c:pt>
              <c:pt idx="177">
                <c:v>94.664921909254431</c:v>
              </c:pt>
              <c:pt idx="178">
                <c:v>95.667603325115678</c:v>
              </c:pt>
              <c:pt idx="179">
                <c:v>98.066174555215184</c:v>
              </c:pt>
              <c:pt idx="180">
                <c:v>98.066174555215184</c:v>
              </c:pt>
              <c:pt idx="181">
                <c:v>98.066174555215184</c:v>
              </c:pt>
              <c:pt idx="182">
                <c:v>99.776631088154986</c:v>
              </c:pt>
              <c:pt idx="183">
                <c:v>102.38163672740238</c:v>
              </c:pt>
              <c:pt idx="184">
                <c:v>102.03757937882253</c:v>
              </c:pt>
              <c:pt idx="185">
                <c:v>98.252948544444251</c:v>
              </c:pt>
              <c:pt idx="186">
                <c:v>98.252948544444251</c:v>
              </c:pt>
              <c:pt idx="187">
                <c:v>98.252948544444251</c:v>
              </c:pt>
              <c:pt idx="188">
                <c:v>98.252948544444251</c:v>
              </c:pt>
              <c:pt idx="189">
                <c:v>98.597005893024075</c:v>
              </c:pt>
              <c:pt idx="190">
                <c:v>99.481724789372251</c:v>
              </c:pt>
              <c:pt idx="191">
                <c:v>99.383422689778001</c:v>
              </c:pt>
              <c:pt idx="192">
                <c:v>98.302099594241355</c:v>
              </c:pt>
              <c:pt idx="193">
                <c:v>99.186818490589545</c:v>
              </c:pt>
              <c:pt idx="194">
                <c:v>99.186818490589545</c:v>
              </c:pt>
              <c:pt idx="195">
                <c:v>99.186818490589545</c:v>
              </c:pt>
              <c:pt idx="196">
                <c:v>98.302099594241355</c:v>
              </c:pt>
              <c:pt idx="197">
                <c:v>98.302099594241355</c:v>
              </c:pt>
              <c:pt idx="198">
                <c:v>96.336057602356533</c:v>
              </c:pt>
              <c:pt idx="199">
                <c:v>99.717649828398436</c:v>
              </c:pt>
              <c:pt idx="200">
                <c:v>97.663135946878782</c:v>
              </c:pt>
              <c:pt idx="201">
                <c:v>97.663135946878782</c:v>
              </c:pt>
              <c:pt idx="202">
                <c:v>97.663135946878782</c:v>
              </c:pt>
              <c:pt idx="203">
                <c:v>99.28512059018378</c:v>
              </c:pt>
              <c:pt idx="204">
                <c:v>101.84097517963404</c:v>
              </c:pt>
              <c:pt idx="205">
                <c:v>101.91961685930946</c:v>
              </c:pt>
              <c:pt idx="206">
                <c:v>99.727480038357868</c:v>
              </c:pt>
              <c:pt idx="207">
                <c:v>97.515682797487429</c:v>
              </c:pt>
              <c:pt idx="208">
                <c:v>97.515682797487429</c:v>
              </c:pt>
              <c:pt idx="209">
                <c:v>97.515682797487429</c:v>
              </c:pt>
              <c:pt idx="210">
                <c:v>98.49870379342984</c:v>
              </c:pt>
              <c:pt idx="211">
                <c:v>99.28512059018378</c:v>
              </c:pt>
              <c:pt idx="212">
                <c:v>100.5630478849089</c:v>
              </c:pt>
              <c:pt idx="213">
                <c:v>103.02060037476494</c:v>
              </c:pt>
              <c:pt idx="214">
                <c:v>105.28154866543248</c:v>
              </c:pt>
              <c:pt idx="215">
                <c:v>105.28154866543248</c:v>
              </c:pt>
              <c:pt idx="216">
                <c:v>105.28154866543248</c:v>
              </c:pt>
              <c:pt idx="217">
                <c:v>108.13230955366549</c:v>
              </c:pt>
              <c:pt idx="218">
                <c:v>108.13230955366549</c:v>
              </c:pt>
              <c:pt idx="219">
                <c:v>109.12685872268695</c:v>
              </c:pt>
              <c:pt idx="220">
                <c:v>109.12685872268695</c:v>
              </c:pt>
              <c:pt idx="221">
                <c:v>106.97753831812194</c:v>
              </c:pt>
              <c:pt idx="222">
                <c:v>106.97753831812194</c:v>
              </c:pt>
              <c:pt idx="223">
                <c:v>106.97753831812194</c:v>
              </c:pt>
              <c:pt idx="224">
                <c:v>106.97753831812194</c:v>
              </c:pt>
              <c:pt idx="225">
                <c:v>109.65441918562563</c:v>
              </c:pt>
              <c:pt idx="226">
                <c:v>112.1847554800908</c:v>
              </c:pt>
              <c:pt idx="227">
                <c:v>111.569268273329</c:v>
              </c:pt>
              <c:pt idx="228">
                <c:v>111.1980220216314</c:v>
              </c:pt>
              <c:pt idx="229">
                <c:v>111.1980220216314</c:v>
              </c:pt>
              <c:pt idx="230">
                <c:v>111.1980220216314</c:v>
              </c:pt>
              <c:pt idx="231">
                <c:v>111.1980220216314</c:v>
              </c:pt>
              <c:pt idx="232">
                <c:v>111.1980220216314</c:v>
              </c:pt>
              <c:pt idx="233">
                <c:v>110.83654540813639</c:v>
              </c:pt>
              <c:pt idx="234">
                <c:v>109.11708908448436</c:v>
              </c:pt>
              <c:pt idx="235">
                <c:v>110.17221001036174</c:v>
              </c:pt>
              <c:pt idx="236">
                <c:v>110.17221001036174</c:v>
              </c:pt>
              <c:pt idx="237">
                <c:v>110.17221001036174</c:v>
              </c:pt>
              <c:pt idx="238">
                <c:v>109.95727796990525</c:v>
              </c:pt>
              <c:pt idx="239">
                <c:v>109.85958158787956</c:v>
              </c:pt>
              <c:pt idx="240">
                <c:v>108.44298404850717</c:v>
              </c:pt>
              <c:pt idx="241">
                <c:v>114.8616363475945</c:v>
              </c:pt>
              <c:pt idx="242">
                <c:v>115.28173079030492</c:v>
              </c:pt>
              <c:pt idx="243">
                <c:v>115.28173079030492</c:v>
              </c:pt>
              <c:pt idx="244">
                <c:v>115.28173079030492</c:v>
              </c:pt>
              <c:pt idx="245">
                <c:v>113.4743477228298</c:v>
              </c:pt>
              <c:pt idx="246">
                <c:v>109.51764425078967</c:v>
              </c:pt>
              <c:pt idx="247">
                <c:v>114.74440068916367</c:v>
              </c:pt>
              <c:pt idx="248">
                <c:v>114.74440068916367</c:v>
              </c:pt>
              <c:pt idx="249">
                <c:v>113.96282963295822</c:v>
              </c:pt>
              <c:pt idx="250">
                <c:v>113.96282963295822</c:v>
              </c:pt>
              <c:pt idx="251">
                <c:v>113.96282963295822</c:v>
              </c:pt>
              <c:pt idx="252">
                <c:v>112.49738390257299</c:v>
              </c:pt>
              <c:pt idx="253">
                <c:v>114.91048453860734</c:v>
              </c:pt>
              <c:pt idx="254">
                <c:v>114.89094526220218</c:v>
              </c:pt>
              <c:pt idx="255">
                <c:v>114.4903900958969</c:v>
              </c:pt>
              <c:pt idx="256">
                <c:v>115.28173079030492</c:v>
              </c:pt>
              <c:pt idx="257">
                <c:v>115.28173079030492</c:v>
              </c:pt>
              <c:pt idx="258">
                <c:v>115.28173079030492</c:v>
              </c:pt>
              <c:pt idx="259">
                <c:v>117.6264439589213</c:v>
              </c:pt>
              <c:pt idx="260">
                <c:v>110.9830899811749</c:v>
              </c:pt>
              <c:pt idx="261">
                <c:v>110.9830899811749</c:v>
              </c:pt>
              <c:pt idx="262">
                <c:v>103.50931675621023</c:v>
              </c:pt>
              <c:pt idx="263">
                <c:v>101.40884454265806</c:v>
              </c:pt>
              <c:pt idx="264">
                <c:v>101.40884454265806</c:v>
              </c:pt>
              <c:pt idx="265">
                <c:v>101.40884454265806</c:v>
              </c:pt>
              <c:pt idx="266">
                <c:v>101.9461746437993</c:v>
              </c:pt>
              <c:pt idx="267">
                <c:v>97.686612387479556</c:v>
              </c:pt>
              <c:pt idx="268">
                <c:v>97.696382025682126</c:v>
              </c:pt>
              <c:pt idx="269">
                <c:v>97.110203733528053</c:v>
              </c:pt>
              <c:pt idx="270">
                <c:v>97.14928228633832</c:v>
              </c:pt>
              <c:pt idx="271">
                <c:v>97.14928228633832</c:v>
              </c:pt>
              <c:pt idx="272">
                <c:v>97.14928228633832</c:v>
              </c:pt>
              <c:pt idx="273">
                <c:v>95.918307872814722</c:v>
              </c:pt>
              <c:pt idx="274">
                <c:v>94.472401418834622</c:v>
              </c:pt>
              <c:pt idx="275">
                <c:v>92.137457888420826</c:v>
              </c:pt>
              <c:pt idx="276">
                <c:v>92.958107497436572</c:v>
              </c:pt>
              <c:pt idx="277">
                <c:v>92.323081014269619</c:v>
              </c:pt>
              <c:pt idx="278">
                <c:v>92.323081014269619</c:v>
              </c:pt>
              <c:pt idx="279">
                <c:v>92.323081014269619</c:v>
              </c:pt>
              <c:pt idx="280">
                <c:v>94.472401418834622</c:v>
              </c:pt>
              <c:pt idx="281">
                <c:v>94.472401418834622</c:v>
              </c:pt>
              <c:pt idx="282">
                <c:v>94.277008654783259</c:v>
              </c:pt>
              <c:pt idx="283">
                <c:v>97.842926598720666</c:v>
              </c:pt>
              <c:pt idx="284">
                <c:v>97.842926598720666</c:v>
              </c:pt>
              <c:pt idx="285">
                <c:v>97.842926598720666</c:v>
              </c:pt>
              <c:pt idx="286">
                <c:v>97.842926598720666</c:v>
              </c:pt>
              <c:pt idx="287">
                <c:v>97.842926598720666</c:v>
              </c:pt>
              <c:pt idx="288">
                <c:v>103.25530616294346</c:v>
              </c:pt>
              <c:pt idx="289">
                <c:v>103.25530616294346</c:v>
              </c:pt>
              <c:pt idx="290">
                <c:v>102.70820642359963</c:v>
              </c:pt>
              <c:pt idx="291">
                <c:v>102.09271921683784</c:v>
              </c:pt>
              <c:pt idx="292">
                <c:v>102.09271921683784</c:v>
              </c:pt>
              <c:pt idx="293">
                <c:v>102.09271921683784</c:v>
              </c:pt>
              <c:pt idx="294">
                <c:v>102.09271921683784</c:v>
              </c:pt>
              <c:pt idx="295">
                <c:v>102.09271921683784</c:v>
              </c:pt>
              <c:pt idx="296">
                <c:v>101.11575539658101</c:v>
              </c:pt>
              <c:pt idx="297">
                <c:v>102.67889750899192</c:v>
              </c:pt>
              <c:pt idx="298">
                <c:v>102.23926378987636</c:v>
              </c:pt>
              <c:pt idx="299">
                <c:v>102.23926378987636</c:v>
              </c:pt>
              <c:pt idx="300">
                <c:v>102.23926378987636</c:v>
              </c:pt>
              <c:pt idx="301">
                <c:v>103.55816494722306</c:v>
              </c:pt>
              <c:pt idx="302">
                <c:v>99.132518841459657</c:v>
              </c:pt>
              <c:pt idx="303">
                <c:v>97.696382025682126</c:v>
              </c:pt>
              <c:pt idx="304">
                <c:v>97.989471171759192</c:v>
              </c:pt>
              <c:pt idx="305">
                <c:v>97.119973371730609</c:v>
              </c:pt>
              <c:pt idx="306">
                <c:v>97.119973371730609</c:v>
              </c:pt>
              <c:pt idx="307">
                <c:v>97.119973371730609</c:v>
              </c:pt>
              <c:pt idx="308">
                <c:v>96.763719667441734</c:v>
              </c:pt>
              <c:pt idx="309">
                <c:v>94.432063771840717</c:v>
              </c:pt>
              <c:pt idx="310">
                <c:v>93.84914979794047</c:v>
              </c:pt>
              <c:pt idx="311">
                <c:v>93.84914979794047</c:v>
              </c:pt>
              <c:pt idx="312">
                <c:v>95.986501035574719</c:v>
              </c:pt>
              <c:pt idx="313">
                <c:v>95.986501035574719</c:v>
              </c:pt>
              <c:pt idx="314">
                <c:v>95.986501035574719</c:v>
              </c:pt>
              <c:pt idx="315">
                <c:v>98.852494740584305</c:v>
              </c:pt>
              <c:pt idx="316">
                <c:v>103.80726351873642</c:v>
              </c:pt>
              <c:pt idx="317">
                <c:v>98.221004602192352</c:v>
              </c:pt>
              <c:pt idx="318">
                <c:v>101.04813737560859</c:v>
              </c:pt>
              <c:pt idx="319">
                <c:v>101.04813737560859</c:v>
              </c:pt>
              <c:pt idx="320">
                <c:v>101.04813737560859</c:v>
              </c:pt>
              <c:pt idx="321">
                <c:v>101.04813737560859</c:v>
              </c:pt>
              <c:pt idx="322">
                <c:v>101.28130296516868</c:v>
              </c:pt>
              <c:pt idx="323">
                <c:v>101.91279310356063</c:v>
              </c:pt>
              <c:pt idx="324">
                <c:v>101.32987912966037</c:v>
              </c:pt>
              <c:pt idx="325">
                <c:v>101.32987912966037</c:v>
              </c:pt>
              <c:pt idx="326">
                <c:v>101.19386586908364</c:v>
              </c:pt>
              <c:pt idx="327">
                <c:v>101.19386586908364</c:v>
              </c:pt>
              <c:pt idx="328">
                <c:v>101.19386586908364</c:v>
              </c:pt>
              <c:pt idx="329">
                <c:v>101.18415063618532</c:v>
              </c:pt>
              <c:pt idx="330">
                <c:v>106.88699234750942</c:v>
              </c:pt>
              <c:pt idx="331">
                <c:v>106.86756188171275</c:v>
              </c:pt>
              <c:pt idx="332">
                <c:v>109.78213175121401</c:v>
              </c:pt>
              <c:pt idx="333">
                <c:v>110.75365504104776</c:v>
              </c:pt>
              <c:pt idx="334">
                <c:v>110.75365504104776</c:v>
              </c:pt>
              <c:pt idx="335">
                <c:v>110.75365504104776</c:v>
              </c:pt>
              <c:pt idx="336">
                <c:v>110.75365504104776</c:v>
              </c:pt>
              <c:pt idx="337">
                <c:v>112.69670162071527</c:v>
              </c:pt>
              <c:pt idx="338">
                <c:v>112.69670162071527</c:v>
              </c:pt>
              <c:pt idx="339">
                <c:v>111.73489356377983</c:v>
              </c:pt>
              <c:pt idx="340">
                <c:v>114.0762646922792</c:v>
              </c:pt>
              <c:pt idx="341">
                <c:v>114.0762646922792</c:v>
              </c:pt>
              <c:pt idx="342">
                <c:v>114.0762646922792</c:v>
              </c:pt>
              <c:pt idx="343">
                <c:v>113.66822491054901</c:v>
              </c:pt>
              <c:pt idx="344">
                <c:v>113.66822491054901</c:v>
              </c:pt>
              <c:pt idx="345">
                <c:v>106.18749557882913</c:v>
              </c:pt>
              <c:pt idx="346">
                <c:v>105.99319092086238</c:v>
              </c:pt>
              <c:pt idx="347">
                <c:v>104.91480006914691</c:v>
              </c:pt>
              <c:pt idx="348">
                <c:v>104.91480006914691</c:v>
              </c:pt>
              <c:pt idx="349">
                <c:v>104.91480006914691</c:v>
              </c:pt>
              <c:pt idx="350">
                <c:v>104.91480006914691</c:v>
              </c:pt>
              <c:pt idx="351">
                <c:v>104.6816344795868</c:v>
              </c:pt>
              <c:pt idx="352">
                <c:v>107.79050900705481</c:v>
              </c:pt>
              <c:pt idx="353">
                <c:v>107.79050900705481</c:v>
              </c:pt>
              <c:pt idx="354">
                <c:v>107.79050900705481</c:v>
              </c:pt>
              <c:pt idx="355">
                <c:v>107.79050900705481</c:v>
              </c:pt>
              <c:pt idx="356">
                <c:v>107.79050900705481</c:v>
              </c:pt>
              <c:pt idx="357">
                <c:v>107.79050900705481</c:v>
              </c:pt>
              <c:pt idx="358">
                <c:v>105.79888626289562</c:v>
              </c:pt>
              <c:pt idx="359">
                <c:v>104.6816344795868</c:v>
              </c:pt>
              <c:pt idx="360">
                <c:v>103.16605814744615</c:v>
              </c:pt>
              <c:pt idx="361">
                <c:v>103.16605814744615</c:v>
              </c:pt>
              <c:pt idx="362">
                <c:v>103.16605814744615</c:v>
              </c:pt>
              <c:pt idx="363">
                <c:v>103.16605814744615</c:v>
              </c:pt>
              <c:pt idx="364">
                <c:v>102.98146872237774</c:v>
              </c:pt>
              <c:pt idx="365">
                <c:v>104.92451530204525</c:v>
              </c:pt>
              <c:pt idx="366">
                <c:v>105.118819960012</c:v>
              </c:pt>
              <c:pt idx="367">
                <c:v>106.57610489476262</c:v>
              </c:pt>
              <c:pt idx="368">
                <c:v>109.24779394180545</c:v>
              </c:pt>
              <c:pt idx="369">
                <c:v>109.24779394180545</c:v>
              </c:pt>
              <c:pt idx="370">
                <c:v>109.24779394180545</c:v>
              </c:pt>
              <c:pt idx="371">
                <c:v>109.24779394180545</c:v>
              </c:pt>
              <c:pt idx="372">
                <c:v>108.71345613239689</c:v>
              </c:pt>
              <c:pt idx="373">
                <c:v>105.90575382477735</c:v>
              </c:pt>
              <c:pt idx="374">
                <c:v>112.30809230478177</c:v>
              </c:pt>
              <c:pt idx="375">
                <c:v>114.78547669385785</c:v>
              </c:pt>
              <c:pt idx="376">
                <c:v>114.78547669385785</c:v>
              </c:pt>
              <c:pt idx="377">
                <c:v>114.78547669385785</c:v>
              </c:pt>
              <c:pt idx="378">
                <c:v>114.63974820038277</c:v>
              </c:pt>
              <c:pt idx="379">
                <c:v>115.61127149021652</c:v>
              </c:pt>
              <c:pt idx="380">
                <c:v>117.55431806988403</c:v>
              </c:pt>
              <c:pt idx="381">
                <c:v>114.15398655546588</c:v>
              </c:pt>
              <c:pt idx="382">
                <c:v>114.15398655546588</c:v>
              </c:pt>
              <c:pt idx="383">
                <c:v>114.15398655546588</c:v>
              </c:pt>
              <c:pt idx="384">
                <c:v>114.15398655546588</c:v>
              </c:pt>
              <c:pt idx="385">
                <c:v>112.74527778520695</c:v>
              </c:pt>
              <c:pt idx="386">
                <c:v>114.49401970690772</c:v>
              </c:pt>
              <c:pt idx="387">
                <c:v>123.96637178278678</c:v>
              </c:pt>
              <c:pt idx="388">
                <c:v>126.08429255462438</c:v>
              </c:pt>
              <c:pt idx="389">
                <c:v>117.74862272785079</c:v>
              </c:pt>
              <c:pt idx="390">
                <c:v>117.74862272785079</c:v>
              </c:pt>
              <c:pt idx="391">
                <c:v>117.74862272785079</c:v>
              </c:pt>
              <c:pt idx="392">
                <c:v>117.74862272785079</c:v>
              </c:pt>
              <c:pt idx="393">
                <c:v>118.28296053725934</c:v>
              </c:pt>
              <c:pt idx="394">
                <c:v>119.98312629446839</c:v>
              </c:pt>
              <c:pt idx="395">
                <c:v>116.58279478005028</c:v>
              </c:pt>
              <c:pt idx="396">
                <c:v>116.57307954715192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0BD-4D74-9F3F-F8E5228CBAFC}"/>
            </c:ext>
          </c:extLst>
        </c:ser>
        <c:ser>
          <c:idx val="4"/>
          <c:order val="4"/>
          <c:tx>
            <c:v>Target</c:v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550"/>
              <c:pt idx="0">
                <c:v>45820</c:v>
              </c:pt>
              <c:pt idx="1">
                <c:v>45819</c:v>
              </c:pt>
              <c:pt idx="2">
                <c:v>45818</c:v>
              </c:pt>
              <c:pt idx="3">
                <c:v>45817</c:v>
              </c:pt>
              <c:pt idx="4">
                <c:v>45816</c:v>
              </c:pt>
              <c:pt idx="5">
                <c:v>45815</c:v>
              </c:pt>
              <c:pt idx="6">
                <c:v>45814</c:v>
              </c:pt>
              <c:pt idx="7">
                <c:v>45813</c:v>
              </c:pt>
              <c:pt idx="8">
                <c:v>45812</c:v>
              </c:pt>
              <c:pt idx="9">
                <c:v>45811</c:v>
              </c:pt>
              <c:pt idx="10">
                <c:v>45810</c:v>
              </c:pt>
              <c:pt idx="11">
                <c:v>45809</c:v>
              </c:pt>
              <c:pt idx="12">
                <c:v>45808</c:v>
              </c:pt>
              <c:pt idx="13">
                <c:v>45807</c:v>
              </c:pt>
              <c:pt idx="14">
                <c:v>45806</c:v>
              </c:pt>
              <c:pt idx="15">
                <c:v>45805</c:v>
              </c:pt>
              <c:pt idx="16">
                <c:v>45804</c:v>
              </c:pt>
              <c:pt idx="17">
                <c:v>45803</c:v>
              </c:pt>
              <c:pt idx="18">
                <c:v>45802</c:v>
              </c:pt>
              <c:pt idx="19">
                <c:v>45801</c:v>
              </c:pt>
              <c:pt idx="20">
                <c:v>45800</c:v>
              </c:pt>
              <c:pt idx="21">
                <c:v>45799</c:v>
              </c:pt>
              <c:pt idx="22">
                <c:v>45798</c:v>
              </c:pt>
              <c:pt idx="23">
                <c:v>45797</c:v>
              </c:pt>
              <c:pt idx="24">
                <c:v>45796</c:v>
              </c:pt>
              <c:pt idx="25">
                <c:v>45795</c:v>
              </c:pt>
              <c:pt idx="26">
                <c:v>45794</c:v>
              </c:pt>
              <c:pt idx="27">
                <c:v>45793</c:v>
              </c:pt>
              <c:pt idx="28">
                <c:v>45792</c:v>
              </c:pt>
              <c:pt idx="29">
                <c:v>45791</c:v>
              </c:pt>
              <c:pt idx="30">
                <c:v>45790</c:v>
              </c:pt>
              <c:pt idx="31">
                <c:v>45789</c:v>
              </c:pt>
              <c:pt idx="32">
                <c:v>45788</c:v>
              </c:pt>
              <c:pt idx="33">
                <c:v>45787</c:v>
              </c:pt>
              <c:pt idx="34">
                <c:v>45786</c:v>
              </c:pt>
              <c:pt idx="35">
                <c:v>45785</c:v>
              </c:pt>
              <c:pt idx="36">
                <c:v>45784</c:v>
              </c:pt>
              <c:pt idx="37">
                <c:v>45783</c:v>
              </c:pt>
              <c:pt idx="38">
                <c:v>45782</c:v>
              </c:pt>
              <c:pt idx="39">
                <c:v>45781</c:v>
              </c:pt>
              <c:pt idx="40">
                <c:v>45780</c:v>
              </c:pt>
              <c:pt idx="41">
                <c:v>45779</c:v>
              </c:pt>
              <c:pt idx="42">
                <c:v>45778</c:v>
              </c:pt>
              <c:pt idx="43">
                <c:v>45777</c:v>
              </c:pt>
              <c:pt idx="44">
                <c:v>45776</c:v>
              </c:pt>
              <c:pt idx="45">
                <c:v>45775</c:v>
              </c:pt>
              <c:pt idx="46">
                <c:v>45774</c:v>
              </c:pt>
              <c:pt idx="47">
                <c:v>45773</c:v>
              </c:pt>
              <c:pt idx="48">
                <c:v>45772</c:v>
              </c:pt>
              <c:pt idx="49">
                <c:v>45771</c:v>
              </c:pt>
              <c:pt idx="50">
                <c:v>45770</c:v>
              </c:pt>
              <c:pt idx="51">
                <c:v>45769</c:v>
              </c:pt>
              <c:pt idx="52">
                <c:v>45768</c:v>
              </c:pt>
              <c:pt idx="53">
                <c:v>45767</c:v>
              </c:pt>
              <c:pt idx="54">
                <c:v>45766</c:v>
              </c:pt>
              <c:pt idx="55">
                <c:v>45765</c:v>
              </c:pt>
              <c:pt idx="56">
                <c:v>45764</c:v>
              </c:pt>
              <c:pt idx="57">
                <c:v>45763</c:v>
              </c:pt>
              <c:pt idx="58">
                <c:v>45762</c:v>
              </c:pt>
              <c:pt idx="59">
                <c:v>45761</c:v>
              </c:pt>
              <c:pt idx="60">
                <c:v>45760</c:v>
              </c:pt>
              <c:pt idx="61">
                <c:v>45759</c:v>
              </c:pt>
              <c:pt idx="62">
                <c:v>45758</c:v>
              </c:pt>
              <c:pt idx="63">
                <c:v>45757</c:v>
              </c:pt>
              <c:pt idx="64">
                <c:v>45756</c:v>
              </c:pt>
              <c:pt idx="65">
                <c:v>45755</c:v>
              </c:pt>
              <c:pt idx="66">
                <c:v>45754</c:v>
              </c:pt>
              <c:pt idx="67">
                <c:v>45753</c:v>
              </c:pt>
              <c:pt idx="68">
                <c:v>45752</c:v>
              </c:pt>
              <c:pt idx="69">
                <c:v>45751</c:v>
              </c:pt>
              <c:pt idx="70">
                <c:v>45750</c:v>
              </c:pt>
              <c:pt idx="71">
                <c:v>45749</c:v>
              </c:pt>
              <c:pt idx="72">
                <c:v>45748</c:v>
              </c:pt>
              <c:pt idx="73">
                <c:v>45747</c:v>
              </c:pt>
              <c:pt idx="74">
                <c:v>45746</c:v>
              </c:pt>
              <c:pt idx="75">
                <c:v>45745</c:v>
              </c:pt>
              <c:pt idx="76">
                <c:v>45744</c:v>
              </c:pt>
              <c:pt idx="77">
                <c:v>45743</c:v>
              </c:pt>
              <c:pt idx="78">
                <c:v>45742</c:v>
              </c:pt>
              <c:pt idx="79">
                <c:v>45741</c:v>
              </c:pt>
              <c:pt idx="80">
                <c:v>45740</c:v>
              </c:pt>
              <c:pt idx="81">
                <c:v>45739</c:v>
              </c:pt>
              <c:pt idx="82">
                <c:v>45738</c:v>
              </c:pt>
              <c:pt idx="83">
                <c:v>45737</c:v>
              </c:pt>
              <c:pt idx="84">
                <c:v>45736</c:v>
              </c:pt>
              <c:pt idx="85">
                <c:v>45735</c:v>
              </c:pt>
              <c:pt idx="86">
                <c:v>45734</c:v>
              </c:pt>
              <c:pt idx="87">
                <c:v>45733</c:v>
              </c:pt>
              <c:pt idx="88">
                <c:v>45732</c:v>
              </c:pt>
              <c:pt idx="89">
                <c:v>45731</c:v>
              </c:pt>
              <c:pt idx="90">
                <c:v>45730</c:v>
              </c:pt>
              <c:pt idx="91">
                <c:v>45729</c:v>
              </c:pt>
              <c:pt idx="92">
                <c:v>45728</c:v>
              </c:pt>
              <c:pt idx="93">
                <c:v>45727</c:v>
              </c:pt>
              <c:pt idx="94">
                <c:v>45726</c:v>
              </c:pt>
              <c:pt idx="95">
                <c:v>45725</c:v>
              </c:pt>
              <c:pt idx="96">
                <c:v>45724</c:v>
              </c:pt>
              <c:pt idx="97">
                <c:v>45723</c:v>
              </c:pt>
              <c:pt idx="98">
                <c:v>45722</c:v>
              </c:pt>
              <c:pt idx="99">
                <c:v>45721</c:v>
              </c:pt>
              <c:pt idx="100">
                <c:v>45720</c:v>
              </c:pt>
              <c:pt idx="101">
                <c:v>45719</c:v>
              </c:pt>
              <c:pt idx="102">
                <c:v>45718</c:v>
              </c:pt>
              <c:pt idx="103">
                <c:v>45717</c:v>
              </c:pt>
              <c:pt idx="104">
                <c:v>45716</c:v>
              </c:pt>
              <c:pt idx="105">
                <c:v>45715</c:v>
              </c:pt>
              <c:pt idx="106">
                <c:v>45714</c:v>
              </c:pt>
              <c:pt idx="107">
                <c:v>45713</c:v>
              </c:pt>
              <c:pt idx="108">
                <c:v>45712</c:v>
              </c:pt>
              <c:pt idx="109">
                <c:v>45711</c:v>
              </c:pt>
              <c:pt idx="110">
                <c:v>45710</c:v>
              </c:pt>
              <c:pt idx="111">
                <c:v>45709</c:v>
              </c:pt>
              <c:pt idx="112">
                <c:v>45708</c:v>
              </c:pt>
              <c:pt idx="113">
                <c:v>45707</c:v>
              </c:pt>
              <c:pt idx="114">
                <c:v>45706</c:v>
              </c:pt>
              <c:pt idx="115">
                <c:v>45705</c:v>
              </c:pt>
              <c:pt idx="116">
                <c:v>45704</c:v>
              </c:pt>
              <c:pt idx="117">
                <c:v>45703</c:v>
              </c:pt>
              <c:pt idx="118">
                <c:v>45702</c:v>
              </c:pt>
              <c:pt idx="119">
                <c:v>45701</c:v>
              </c:pt>
              <c:pt idx="120">
                <c:v>45700</c:v>
              </c:pt>
              <c:pt idx="121">
                <c:v>45699</c:v>
              </c:pt>
              <c:pt idx="122">
                <c:v>45698</c:v>
              </c:pt>
              <c:pt idx="123">
                <c:v>45697</c:v>
              </c:pt>
              <c:pt idx="124">
                <c:v>45696</c:v>
              </c:pt>
              <c:pt idx="125">
                <c:v>45695</c:v>
              </c:pt>
              <c:pt idx="126">
                <c:v>45694</c:v>
              </c:pt>
              <c:pt idx="127">
                <c:v>45693</c:v>
              </c:pt>
              <c:pt idx="128">
                <c:v>45692</c:v>
              </c:pt>
              <c:pt idx="129">
                <c:v>45691</c:v>
              </c:pt>
              <c:pt idx="130">
                <c:v>45690</c:v>
              </c:pt>
              <c:pt idx="131">
                <c:v>45689</c:v>
              </c:pt>
              <c:pt idx="132">
                <c:v>45688</c:v>
              </c:pt>
              <c:pt idx="133">
                <c:v>45687</c:v>
              </c:pt>
              <c:pt idx="134">
                <c:v>45686</c:v>
              </c:pt>
              <c:pt idx="135">
                <c:v>45685</c:v>
              </c:pt>
              <c:pt idx="136">
                <c:v>45684</c:v>
              </c:pt>
              <c:pt idx="137">
                <c:v>45683</c:v>
              </c:pt>
              <c:pt idx="138">
                <c:v>45682</c:v>
              </c:pt>
              <c:pt idx="139">
                <c:v>45681</c:v>
              </c:pt>
              <c:pt idx="140">
                <c:v>45680</c:v>
              </c:pt>
              <c:pt idx="141">
                <c:v>45679</c:v>
              </c:pt>
              <c:pt idx="142">
                <c:v>45678</c:v>
              </c:pt>
              <c:pt idx="143">
                <c:v>45677</c:v>
              </c:pt>
              <c:pt idx="144">
                <c:v>45676</c:v>
              </c:pt>
              <c:pt idx="145">
                <c:v>45675</c:v>
              </c:pt>
              <c:pt idx="146">
                <c:v>45674</c:v>
              </c:pt>
              <c:pt idx="147">
                <c:v>45673</c:v>
              </c:pt>
              <c:pt idx="148">
                <c:v>45672</c:v>
              </c:pt>
              <c:pt idx="149">
                <c:v>45671</c:v>
              </c:pt>
              <c:pt idx="150">
                <c:v>45670</c:v>
              </c:pt>
              <c:pt idx="151">
                <c:v>45669</c:v>
              </c:pt>
              <c:pt idx="152">
                <c:v>45668</c:v>
              </c:pt>
              <c:pt idx="153">
                <c:v>45667</c:v>
              </c:pt>
              <c:pt idx="154">
                <c:v>45666</c:v>
              </c:pt>
              <c:pt idx="155">
                <c:v>45665</c:v>
              </c:pt>
              <c:pt idx="156">
                <c:v>45664</c:v>
              </c:pt>
              <c:pt idx="157">
                <c:v>45663</c:v>
              </c:pt>
              <c:pt idx="158">
                <c:v>45662</c:v>
              </c:pt>
              <c:pt idx="159">
                <c:v>45661</c:v>
              </c:pt>
              <c:pt idx="160">
                <c:v>45660</c:v>
              </c:pt>
              <c:pt idx="161">
                <c:v>45659</c:v>
              </c:pt>
              <c:pt idx="162">
                <c:v>45658</c:v>
              </c:pt>
              <c:pt idx="163">
                <c:v>45657</c:v>
              </c:pt>
              <c:pt idx="164">
                <c:v>45656</c:v>
              </c:pt>
              <c:pt idx="165">
                <c:v>45655</c:v>
              </c:pt>
              <c:pt idx="166">
                <c:v>45654</c:v>
              </c:pt>
              <c:pt idx="167">
                <c:v>45653</c:v>
              </c:pt>
              <c:pt idx="168">
                <c:v>45652</c:v>
              </c:pt>
              <c:pt idx="169">
                <c:v>45651</c:v>
              </c:pt>
              <c:pt idx="170">
                <c:v>45650</c:v>
              </c:pt>
              <c:pt idx="171">
                <c:v>45649</c:v>
              </c:pt>
              <c:pt idx="172">
                <c:v>45648</c:v>
              </c:pt>
              <c:pt idx="173">
                <c:v>45647</c:v>
              </c:pt>
              <c:pt idx="174">
                <c:v>45646</c:v>
              </c:pt>
              <c:pt idx="175">
                <c:v>45645</c:v>
              </c:pt>
              <c:pt idx="176">
                <c:v>45644</c:v>
              </c:pt>
              <c:pt idx="177">
                <c:v>45643</c:v>
              </c:pt>
              <c:pt idx="178">
                <c:v>45642</c:v>
              </c:pt>
              <c:pt idx="179">
                <c:v>45641</c:v>
              </c:pt>
              <c:pt idx="180">
                <c:v>45640</c:v>
              </c:pt>
              <c:pt idx="181">
                <c:v>45639</c:v>
              </c:pt>
              <c:pt idx="182">
                <c:v>45638</c:v>
              </c:pt>
              <c:pt idx="183">
                <c:v>45637</c:v>
              </c:pt>
              <c:pt idx="184">
                <c:v>45636</c:v>
              </c:pt>
              <c:pt idx="185">
                <c:v>45635</c:v>
              </c:pt>
              <c:pt idx="186">
                <c:v>45634</c:v>
              </c:pt>
              <c:pt idx="187">
                <c:v>45633</c:v>
              </c:pt>
              <c:pt idx="188">
                <c:v>45632</c:v>
              </c:pt>
              <c:pt idx="189">
                <c:v>45631</c:v>
              </c:pt>
              <c:pt idx="190">
                <c:v>45630</c:v>
              </c:pt>
              <c:pt idx="191">
                <c:v>45629</c:v>
              </c:pt>
              <c:pt idx="192">
                <c:v>45628</c:v>
              </c:pt>
              <c:pt idx="193">
                <c:v>45627</c:v>
              </c:pt>
              <c:pt idx="194">
                <c:v>45626</c:v>
              </c:pt>
              <c:pt idx="195">
                <c:v>45625</c:v>
              </c:pt>
              <c:pt idx="196">
                <c:v>45624</c:v>
              </c:pt>
              <c:pt idx="197">
                <c:v>45623</c:v>
              </c:pt>
              <c:pt idx="198">
                <c:v>45622</c:v>
              </c:pt>
              <c:pt idx="199">
                <c:v>45621</c:v>
              </c:pt>
              <c:pt idx="200">
                <c:v>45620</c:v>
              </c:pt>
              <c:pt idx="201">
                <c:v>45619</c:v>
              </c:pt>
              <c:pt idx="202">
                <c:v>45618</c:v>
              </c:pt>
              <c:pt idx="203">
                <c:v>45617</c:v>
              </c:pt>
              <c:pt idx="204">
                <c:v>45616</c:v>
              </c:pt>
              <c:pt idx="205">
                <c:v>45615</c:v>
              </c:pt>
              <c:pt idx="206">
                <c:v>45614</c:v>
              </c:pt>
              <c:pt idx="207">
                <c:v>45613</c:v>
              </c:pt>
              <c:pt idx="208">
                <c:v>45612</c:v>
              </c:pt>
              <c:pt idx="209">
                <c:v>45611</c:v>
              </c:pt>
              <c:pt idx="210">
                <c:v>45610</c:v>
              </c:pt>
              <c:pt idx="211">
                <c:v>45609</c:v>
              </c:pt>
              <c:pt idx="212">
                <c:v>45608</c:v>
              </c:pt>
              <c:pt idx="213">
                <c:v>45607</c:v>
              </c:pt>
              <c:pt idx="214">
                <c:v>45606</c:v>
              </c:pt>
              <c:pt idx="215">
                <c:v>45605</c:v>
              </c:pt>
              <c:pt idx="216">
                <c:v>45604</c:v>
              </c:pt>
              <c:pt idx="217">
                <c:v>45603</c:v>
              </c:pt>
              <c:pt idx="218">
                <c:v>45602</c:v>
              </c:pt>
              <c:pt idx="219">
                <c:v>45601</c:v>
              </c:pt>
              <c:pt idx="220">
                <c:v>45600</c:v>
              </c:pt>
              <c:pt idx="221">
                <c:v>45599</c:v>
              </c:pt>
              <c:pt idx="222">
                <c:v>45598</c:v>
              </c:pt>
              <c:pt idx="223">
                <c:v>45597</c:v>
              </c:pt>
              <c:pt idx="224">
                <c:v>45596</c:v>
              </c:pt>
              <c:pt idx="225">
                <c:v>45595</c:v>
              </c:pt>
              <c:pt idx="226">
                <c:v>45594</c:v>
              </c:pt>
              <c:pt idx="227">
                <c:v>45593</c:v>
              </c:pt>
              <c:pt idx="228">
                <c:v>45592</c:v>
              </c:pt>
              <c:pt idx="229">
                <c:v>45591</c:v>
              </c:pt>
              <c:pt idx="230">
                <c:v>45590</c:v>
              </c:pt>
              <c:pt idx="231">
                <c:v>45589</c:v>
              </c:pt>
              <c:pt idx="232">
                <c:v>45588</c:v>
              </c:pt>
              <c:pt idx="233">
                <c:v>45587</c:v>
              </c:pt>
              <c:pt idx="234">
                <c:v>45586</c:v>
              </c:pt>
              <c:pt idx="235">
                <c:v>45585</c:v>
              </c:pt>
              <c:pt idx="236">
                <c:v>45584</c:v>
              </c:pt>
              <c:pt idx="237">
                <c:v>45583</c:v>
              </c:pt>
              <c:pt idx="238">
                <c:v>45582</c:v>
              </c:pt>
              <c:pt idx="239">
                <c:v>45581</c:v>
              </c:pt>
              <c:pt idx="240">
                <c:v>45580</c:v>
              </c:pt>
              <c:pt idx="241">
                <c:v>45579</c:v>
              </c:pt>
              <c:pt idx="242">
                <c:v>45578</c:v>
              </c:pt>
              <c:pt idx="243">
                <c:v>45577</c:v>
              </c:pt>
              <c:pt idx="244">
                <c:v>45576</c:v>
              </c:pt>
              <c:pt idx="245">
                <c:v>45575</c:v>
              </c:pt>
              <c:pt idx="246">
                <c:v>45574</c:v>
              </c:pt>
              <c:pt idx="247">
                <c:v>45573</c:v>
              </c:pt>
              <c:pt idx="248">
                <c:v>45572</c:v>
              </c:pt>
              <c:pt idx="249">
                <c:v>45571</c:v>
              </c:pt>
              <c:pt idx="250">
                <c:v>45570</c:v>
              </c:pt>
              <c:pt idx="251">
                <c:v>45569</c:v>
              </c:pt>
              <c:pt idx="252">
                <c:v>45568</c:v>
              </c:pt>
              <c:pt idx="253">
                <c:v>45567</c:v>
              </c:pt>
              <c:pt idx="254">
                <c:v>45566</c:v>
              </c:pt>
              <c:pt idx="255">
                <c:v>45565</c:v>
              </c:pt>
              <c:pt idx="256">
                <c:v>45564</c:v>
              </c:pt>
              <c:pt idx="257">
                <c:v>45563</c:v>
              </c:pt>
              <c:pt idx="258">
                <c:v>45562</c:v>
              </c:pt>
              <c:pt idx="259">
                <c:v>45561</c:v>
              </c:pt>
              <c:pt idx="260">
                <c:v>45560</c:v>
              </c:pt>
              <c:pt idx="261">
                <c:v>45559</c:v>
              </c:pt>
              <c:pt idx="262">
                <c:v>45558</c:v>
              </c:pt>
              <c:pt idx="263">
                <c:v>45557</c:v>
              </c:pt>
              <c:pt idx="264">
                <c:v>45556</c:v>
              </c:pt>
              <c:pt idx="265">
                <c:v>45555</c:v>
              </c:pt>
              <c:pt idx="266">
                <c:v>45554</c:v>
              </c:pt>
              <c:pt idx="267">
                <c:v>45553</c:v>
              </c:pt>
              <c:pt idx="268">
                <c:v>45552</c:v>
              </c:pt>
              <c:pt idx="269">
                <c:v>45551</c:v>
              </c:pt>
              <c:pt idx="270">
                <c:v>45550</c:v>
              </c:pt>
              <c:pt idx="271">
                <c:v>45549</c:v>
              </c:pt>
              <c:pt idx="272">
                <c:v>45548</c:v>
              </c:pt>
              <c:pt idx="273">
                <c:v>45547</c:v>
              </c:pt>
              <c:pt idx="274">
                <c:v>45546</c:v>
              </c:pt>
              <c:pt idx="275">
                <c:v>45545</c:v>
              </c:pt>
              <c:pt idx="276">
                <c:v>45544</c:v>
              </c:pt>
              <c:pt idx="277">
                <c:v>45543</c:v>
              </c:pt>
              <c:pt idx="278">
                <c:v>45542</c:v>
              </c:pt>
              <c:pt idx="279">
                <c:v>45541</c:v>
              </c:pt>
              <c:pt idx="280">
                <c:v>45540</c:v>
              </c:pt>
              <c:pt idx="281">
                <c:v>45539</c:v>
              </c:pt>
              <c:pt idx="282">
                <c:v>45538</c:v>
              </c:pt>
              <c:pt idx="283">
                <c:v>45537</c:v>
              </c:pt>
              <c:pt idx="284">
                <c:v>45536</c:v>
              </c:pt>
              <c:pt idx="285">
                <c:v>45535</c:v>
              </c:pt>
              <c:pt idx="286">
                <c:v>45534</c:v>
              </c:pt>
              <c:pt idx="287">
                <c:v>45533</c:v>
              </c:pt>
              <c:pt idx="288">
                <c:v>45532</c:v>
              </c:pt>
              <c:pt idx="289">
                <c:v>45531</c:v>
              </c:pt>
              <c:pt idx="290">
                <c:v>45530</c:v>
              </c:pt>
              <c:pt idx="291">
                <c:v>45529</c:v>
              </c:pt>
              <c:pt idx="292">
                <c:v>45528</c:v>
              </c:pt>
              <c:pt idx="293">
                <c:v>45527</c:v>
              </c:pt>
              <c:pt idx="294">
                <c:v>45526</c:v>
              </c:pt>
              <c:pt idx="295">
                <c:v>45525</c:v>
              </c:pt>
              <c:pt idx="296">
                <c:v>45524</c:v>
              </c:pt>
              <c:pt idx="297">
                <c:v>45523</c:v>
              </c:pt>
              <c:pt idx="298">
                <c:v>45522</c:v>
              </c:pt>
              <c:pt idx="299">
                <c:v>45521</c:v>
              </c:pt>
              <c:pt idx="300">
                <c:v>45520</c:v>
              </c:pt>
              <c:pt idx="301">
                <c:v>45519</c:v>
              </c:pt>
              <c:pt idx="302">
                <c:v>45518</c:v>
              </c:pt>
              <c:pt idx="303">
                <c:v>45517</c:v>
              </c:pt>
              <c:pt idx="304">
                <c:v>45516</c:v>
              </c:pt>
              <c:pt idx="305">
                <c:v>45515</c:v>
              </c:pt>
              <c:pt idx="306">
                <c:v>45514</c:v>
              </c:pt>
              <c:pt idx="307">
                <c:v>45513</c:v>
              </c:pt>
              <c:pt idx="308">
                <c:v>45512</c:v>
              </c:pt>
              <c:pt idx="309">
                <c:v>45511</c:v>
              </c:pt>
              <c:pt idx="310">
                <c:v>45510</c:v>
              </c:pt>
              <c:pt idx="311">
                <c:v>45509</c:v>
              </c:pt>
              <c:pt idx="312">
                <c:v>45508</c:v>
              </c:pt>
              <c:pt idx="313">
                <c:v>45507</c:v>
              </c:pt>
              <c:pt idx="314">
                <c:v>45506</c:v>
              </c:pt>
              <c:pt idx="315">
                <c:v>45505</c:v>
              </c:pt>
              <c:pt idx="316">
                <c:v>45504</c:v>
              </c:pt>
              <c:pt idx="317">
                <c:v>45503</c:v>
              </c:pt>
              <c:pt idx="318">
                <c:v>45502</c:v>
              </c:pt>
              <c:pt idx="319">
                <c:v>45501</c:v>
              </c:pt>
              <c:pt idx="320">
                <c:v>45500</c:v>
              </c:pt>
              <c:pt idx="321">
                <c:v>45499</c:v>
              </c:pt>
              <c:pt idx="322">
                <c:v>45498</c:v>
              </c:pt>
              <c:pt idx="323">
                <c:v>45497</c:v>
              </c:pt>
              <c:pt idx="324">
                <c:v>45496</c:v>
              </c:pt>
              <c:pt idx="325">
                <c:v>45495</c:v>
              </c:pt>
              <c:pt idx="326">
                <c:v>45494</c:v>
              </c:pt>
              <c:pt idx="327">
                <c:v>45493</c:v>
              </c:pt>
              <c:pt idx="328">
                <c:v>45492</c:v>
              </c:pt>
              <c:pt idx="329">
                <c:v>45491</c:v>
              </c:pt>
              <c:pt idx="330">
                <c:v>45490</c:v>
              </c:pt>
              <c:pt idx="331">
                <c:v>45489</c:v>
              </c:pt>
              <c:pt idx="332">
                <c:v>45488</c:v>
              </c:pt>
              <c:pt idx="333">
                <c:v>45487</c:v>
              </c:pt>
              <c:pt idx="334">
                <c:v>45486</c:v>
              </c:pt>
              <c:pt idx="335">
                <c:v>45485</c:v>
              </c:pt>
              <c:pt idx="336">
                <c:v>45484</c:v>
              </c:pt>
              <c:pt idx="337">
                <c:v>45483</c:v>
              </c:pt>
              <c:pt idx="338">
                <c:v>45482</c:v>
              </c:pt>
              <c:pt idx="339">
                <c:v>45481</c:v>
              </c:pt>
              <c:pt idx="340">
                <c:v>45480</c:v>
              </c:pt>
              <c:pt idx="341">
                <c:v>45479</c:v>
              </c:pt>
              <c:pt idx="342">
                <c:v>45478</c:v>
              </c:pt>
              <c:pt idx="343">
                <c:v>45477</c:v>
              </c:pt>
              <c:pt idx="344">
                <c:v>45476</c:v>
              </c:pt>
              <c:pt idx="345">
                <c:v>45475</c:v>
              </c:pt>
              <c:pt idx="346">
                <c:v>45474</c:v>
              </c:pt>
              <c:pt idx="347">
                <c:v>45473</c:v>
              </c:pt>
              <c:pt idx="348">
                <c:v>45472</c:v>
              </c:pt>
              <c:pt idx="349">
                <c:v>45471</c:v>
              </c:pt>
              <c:pt idx="350">
                <c:v>45470</c:v>
              </c:pt>
              <c:pt idx="351">
                <c:v>45469</c:v>
              </c:pt>
              <c:pt idx="352">
                <c:v>45468</c:v>
              </c:pt>
              <c:pt idx="353">
                <c:v>45467</c:v>
              </c:pt>
              <c:pt idx="354">
                <c:v>45466</c:v>
              </c:pt>
              <c:pt idx="355">
                <c:v>45465</c:v>
              </c:pt>
              <c:pt idx="356">
                <c:v>45464</c:v>
              </c:pt>
              <c:pt idx="357">
                <c:v>45463</c:v>
              </c:pt>
              <c:pt idx="358">
                <c:v>45462</c:v>
              </c:pt>
              <c:pt idx="359">
                <c:v>45461</c:v>
              </c:pt>
              <c:pt idx="360">
                <c:v>45460</c:v>
              </c:pt>
              <c:pt idx="361">
                <c:v>45459</c:v>
              </c:pt>
              <c:pt idx="362">
                <c:v>45458</c:v>
              </c:pt>
              <c:pt idx="363">
                <c:v>45457</c:v>
              </c:pt>
              <c:pt idx="364">
                <c:v>45456</c:v>
              </c:pt>
              <c:pt idx="365">
                <c:v>45455</c:v>
              </c:pt>
              <c:pt idx="366">
                <c:v>45454</c:v>
              </c:pt>
              <c:pt idx="367">
                <c:v>45453</c:v>
              </c:pt>
              <c:pt idx="368">
                <c:v>45452</c:v>
              </c:pt>
              <c:pt idx="369">
                <c:v>45451</c:v>
              </c:pt>
              <c:pt idx="370">
                <c:v>45450</c:v>
              </c:pt>
              <c:pt idx="371">
                <c:v>45449</c:v>
              </c:pt>
              <c:pt idx="372">
                <c:v>45448</c:v>
              </c:pt>
              <c:pt idx="373">
                <c:v>45447</c:v>
              </c:pt>
              <c:pt idx="374">
                <c:v>45446</c:v>
              </c:pt>
              <c:pt idx="375">
                <c:v>45445</c:v>
              </c:pt>
              <c:pt idx="376">
                <c:v>45444</c:v>
              </c:pt>
              <c:pt idx="377">
                <c:v>45443</c:v>
              </c:pt>
              <c:pt idx="378">
                <c:v>45442</c:v>
              </c:pt>
              <c:pt idx="379">
                <c:v>45441</c:v>
              </c:pt>
              <c:pt idx="380">
                <c:v>45440</c:v>
              </c:pt>
              <c:pt idx="381">
                <c:v>45439</c:v>
              </c:pt>
              <c:pt idx="382">
                <c:v>45438</c:v>
              </c:pt>
              <c:pt idx="383">
                <c:v>45437</c:v>
              </c:pt>
              <c:pt idx="384">
                <c:v>45436</c:v>
              </c:pt>
              <c:pt idx="385">
                <c:v>45435</c:v>
              </c:pt>
              <c:pt idx="386">
                <c:v>45434</c:v>
              </c:pt>
              <c:pt idx="387">
                <c:v>45433</c:v>
              </c:pt>
              <c:pt idx="388">
                <c:v>45432</c:v>
              </c:pt>
              <c:pt idx="389">
                <c:v>45431</c:v>
              </c:pt>
              <c:pt idx="390">
                <c:v>45430</c:v>
              </c:pt>
              <c:pt idx="391">
                <c:v>45429</c:v>
              </c:pt>
              <c:pt idx="392">
                <c:v>45428</c:v>
              </c:pt>
              <c:pt idx="393">
                <c:v>45427</c:v>
              </c:pt>
              <c:pt idx="394">
                <c:v>45426</c:v>
              </c:pt>
              <c:pt idx="395">
                <c:v>45425</c:v>
              </c:pt>
              <c:pt idx="396">
                <c:v>45424</c:v>
              </c:pt>
            </c:numLit>
          </c:cat>
          <c:val>
            <c:numLit>
              <c:formatCode>General</c:formatCode>
              <c:ptCount val="550"/>
              <c:pt idx="0">
                <c:v>92.664138793945313</c:v>
              </c:pt>
              <c:pt idx="1">
                <c:v>92.664138793945313</c:v>
              </c:pt>
              <c:pt idx="2">
                <c:v>92.912246704101563</c:v>
              </c:pt>
              <c:pt idx="3">
                <c:v>92.912246704101563</c:v>
              </c:pt>
              <c:pt idx="4">
                <c:v>92.912246704101563</c:v>
              </c:pt>
              <c:pt idx="5">
                <c:v>92.912246704101563</c:v>
              </c:pt>
              <c:pt idx="6">
                <c:v>92.912246704101563</c:v>
              </c:pt>
              <c:pt idx="7">
                <c:v>92.912246704101563</c:v>
              </c:pt>
              <c:pt idx="8">
                <c:v>92.912246704101563</c:v>
              </c:pt>
              <c:pt idx="9">
                <c:v>92.912246704101563</c:v>
              </c:pt>
              <c:pt idx="10">
                <c:v>92.912246704101563</c:v>
              </c:pt>
              <c:pt idx="11">
                <c:v>92.912246704101563</c:v>
              </c:pt>
              <c:pt idx="12">
                <c:v>92.912246704101563</c:v>
              </c:pt>
              <c:pt idx="13">
                <c:v>92.912246704101563</c:v>
              </c:pt>
              <c:pt idx="14">
                <c:v>93.083358764648438</c:v>
              </c:pt>
              <c:pt idx="15">
                <c:v>93.083358764648438</c:v>
              </c:pt>
              <c:pt idx="16">
                <c:v>93.083358764648438</c:v>
              </c:pt>
              <c:pt idx="17">
                <c:v>93.083358764648438</c:v>
              </c:pt>
              <c:pt idx="18">
                <c:v>93.083358764648438</c:v>
              </c:pt>
              <c:pt idx="19">
                <c:v>93.083358764648438</c:v>
              </c:pt>
              <c:pt idx="20">
                <c:v>93.083358764648438</c:v>
              </c:pt>
              <c:pt idx="21">
                <c:v>93.083358764648438</c:v>
              </c:pt>
              <c:pt idx="22">
                <c:v>93.083358764648438</c:v>
              </c:pt>
              <c:pt idx="23">
                <c:v>93.083358764648438</c:v>
              </c:pt>
              <c:pt idx="24">
                <c:v>93.083358764648438</c:v>
              </c:pt>
              <c:pt idx="25">
                <c:v>93.083358764648438</c:v>
              </c:pt>
              <c:pt idx="26">
                <c:v>93.083358764648438</c:v>
              </c:pt>
              <c:pt idx="27">
                <c:v>93.083358764648438</c:v>
              </c:pt>
              <c:pt idx="28">
                <c:v>93.083358764648438</c:v>
              </c:pt>
              <c:pt idx="29">
                <c:v>93.034347534179688</c:v>
              </c:pt>
              <c:pt idx="30">
                <c:v>92.995132446289063</c:v>
              </c:pt>
              <c:pt idx="31">
                <c:v>92.995132446289063</c:v>
              </c:pt>
              <c:pt idx="32">
                <c:v>92.995132446289063</c:v>
              </c:pt>
              <c:pt idx="33">
                <c:v>92.995132446289063</c:v>
              </c:pt>
              <c:pt idx="34">
                <c:v>92.995132446289063</c:v>
              </c:pt>
              <c:pt idx="35">
                <c:v>92.995132446289063</c:v>
              </c:pt>
              <c:pt idx="36">
                <c:v>92.995132446289063</c:v>
              </c:pt>
              <c:pt idx="37">
                <c:v>92.995132446289063</c:v>
              </c:pt>
              <c:pt idx="38">
                <c:v>92.995132446289063</c:v>
              </c:pt>
              <c:pt idx="39">
                <c:v>92.948471069335938</c:v>
              </c:pt>
              <c:pt idx="40">
                <c:v>92.948471069335938</c:v>
              </c:pt>
              <c:pt idx="41">
                <c:v>92.948471069335938</c:v>
              </c:pt>
              <c:pt idx="42">
                <c:v>92.948211669921875</c:v>
              </c:pt>
              <c:pt idx="43">
                <c:v>92.948211669921875</c:v>
              </c:pt>
              <c:pt idx="44">
                <c:v>92.948211669921875</c:v>
              </c:pt>
              <c:pt idx="45">
                <c:v>92.948211669921875</c:v>
              </c:pt>
              <c:pt idx="46">
                <c:v>92.92510986328125</c:v>
              </c:pt>
              <c:pt idx="47">
                <c:v>92.92510986328125</c:v>
              </c:pt>
              <c:pt idx="48">
                <c:v>92.92510986328125</c:v>
              </c:pt>
              <c:pt idx="49">
                <c:v>94.049598693847656</c:v>
              </c:pt>
              <c:pt idx="50">
                <c:v>94.009239196777344</c:v>
              </c:pt>
              <c:pt idx="51">
                <c:v>95.166152954101563</c:v>
              </c:pt>
              <c:pt idx="52">
                <c:v>93.988388061523438</c:v>
              </c:pt>
              <c:pt idx="53">
                <c:v>93.988388061523438</c:v>
              </c:pt>
              <c:pt idx="54">
                <c:v>93.988388061523438</c:v>
              </c:pt>
              <c:pt idx="55">
                <c:v>93.988388061523438</c:v>
              </c:pt>
              <c:pt idx="56">
                <c:v>93.988388061523438</c:v>
              </c:pt>
              <c:pt idx="57">
                <c:v>93.988388061523438</c:v>
              </c:pt>
              <c:pt idx="58">
                <c:v>93.988388061523438</c:v>
              </c:pt>
              <c:pt idx="59">
                <c:v>95.1533203125</c:v>
              </c:pt>
              <c:pt idx="60">
                <c:v>95.1533203125</c:v>
              </c:pt>
              <c:pt idx="61">
                <c:v>95.1533203125</c:v>
              </c:pt>
              <c:pt idx="62">
                <c:v>95.1533203125</c:v>
              </c:pt>
              <c:pt idx="63">
                <c:v>95.182449340820313</c:v>
              </c:pt>
              <c:pt idx="64">
                <c:v>95.182449340820313</c:v>
              </c:pt>
              <c:pt idx="65">
                <c:v>95.182449340820313</c:v>
              </c:pt>
              <c:pt idx="66">
                <c:v>94.544944763183594</c:v>
              </c:pt>
              <c:pt idx="67">
                <c:v>94.544944763183594</c:v>
              </c:pt>
              <c:pt idx="68">
                <c:v>94.544944763183594</c:v>
              </c:pt>
              <c:pt idx="69">
                <c:v>94.544944763183594</c:v>
              </c:pt>
              <c:pt idx="70">
                <c:v>94.544944763183594</c:v>
              </c:pt>
              <c:pt idx="71">
                <c:v>94.544944763183594</c:v>
              </c:pt>
              <c:pt idx="72">
                <c:v>94.544944763183594</c:v>
              </c:pt>
              <c:pt idx="73">
                <c:v>94.544944763183594</c:v>
              </c:pt>
              <c:pt idx="74">
                <c:v>94.544944763183594</c:v>
              </c:pt>
              <c:pt idx="75">
                <c:v>94.544944763183594</c:v>
              </c:pt>
              <c:pt idx="76">
                <c:v>94.544944763183594</c:v>
              </c:pt>
              <c:pt idx="77">
                <c:v>94.544944763183594</c:v>
              </c:pt>
              <c:pt idx="78">
                <c:v>95.166427612304688</c:v>
              </c:pt>
              <c:pt idx="79">
                <c:v>95.079391479492188</c:v>
              </c:pt>
              <c:pt idx="80">
                <c:v>95.079391479492188</c:v>
              </c:pt>
              <c:pt idx="81">
                <c:v>95.079391479492188</c:v>
              </c:pt>
              <c:pt idx="82">
                <c:v>95.079391479492188</c:v>
              </c:pt>
              <c:pt idx="83">
                <c:v>95.079391479492188</c:v>
              </c:pt>
              <c:pt idx="84">
                <c:v>95.079391479492188</c:v>
              </c:pt>
              <c:pt idx="85">
                <c:v>95.079391479492188</c:v>
              </c:pt>
              <c:pt idx="86">
                <c:v>95.079391479492188</c:v>
              </c:pt>
              <c:pt idx="87">
                <c:v>95.079391479492188</c:v>
              </c:pt>
              <c:pt idx="88">
                <c:v>95.052726745605469</c:v>
              </c:pt>
              <c:pt idx="89">
                <c:v>95.052726745605469</c:v>
              </c:pt>
              <c:pt idx="90">
                <c:v>95.052726745605469</c:v>
              </c:pt>
              <c:pt idx="91">
                <c:v>95.052726745605469</c:v>
              </c:pt>
              <c:pt idx="92">
                <c:v>95.052726745605469</c:v>
              </c:pt>
              <c:pt idx="93">
                <c:v>94.934791564941406</c:v>
              </c:pt>
              <c:pt idx="94">
                <c:v>95.472183227539063</c:v>
              </c:pt>
              <c:pt idx="95">
                <c:v>94.42987060546875</c:v>
              </c:pt>
              <c:pt idx="96">
                <c:v>94.42987060546875</c:v>
              </c:pt>
              <c:pt idx="97">
                <c:v>94.42987060546875</c:v>
              </c:pt>
              <c:pt idx="98">
                <c:v>94.42987060546875</c:v>
              </c:pt>
              <c:pt idx="99">
                <c:v>94.42987060546875</c:v>
              </c:pt>
              <c:pt idx="100">
                <c:v>94.42987060546875</c:v>
              </c:pt>
              <c:pt idx="101">
                <c:v>94.42987060546875</c:v>
              </c:pt>
              <c:pt idx="102">
                <c:v>94.42987060546875</c:v>
              </c:pt>
              <c:pt idx="103">
                <c:v>94.42987060546875</c:v>
              </c:pt>
              <c:pt idx="104">
                <c:v>94.42987060546875</c:v>
              </c:pt>
              <c:pt idx="105">
                <c:v>94.42987060546875</c:v>
              </c:pt>
              <c:pt idx="106">
                <c:v>94.42987060546875</c:v>
              </c:pt>
              <c:pt idx="107">
                <c:v>94.42987060546875</c:v>
              </c:pt>
              <c:pt idx="108">
                <c:v>94.410224914550781</c:v>
              </c:pt>
              <c:pt idx="109">
                <c:v>94.410224914550781</c:v>
              </c:pt>
              <c:pt idx="110">
                <c:v>94.410224914550781</c:v>
              </c:pt>
              <c:pt idx="111">
                <c:v>94.410224914550781</c:v>
              </c:pt>
              <c:pt idx="112">
                <c:v>94.410224914550781</c:v>
              </c:pt>
              <c:pt idx="113">
                <c:v>94.410224914550781</c:v>
              </c:pt>
              <c:pt idx="114">
                <c:v>94.410224914550781</c:v>
              </c:pt>
              <c:pt idx="115">
                <c:v>94.410224914550781</c:v>
              </c:pt>
              <c:pt idx="116">
                <c:v>94.410224914550781</c:v>
              </c:pt>
              <c:pt idx="117">
                <c:v>94.410224914550781</c:v>
              </c:pt>
              <c:pt idx="118">
                <c:v>94.410224914550781</c:v>
              </c:pt>
              <c:pt idx="119">
                <c:v>94.410224914550781</c:v>
              </c:pt>
              <c:pt idx="120">
                <c:v>93.648048400878906</c:v>
              </c:pt>
              <c:pt idx="121">
                <c:v>93.574378967285156</c:v>
              </c:pt>
              <c:pt idx="122">
                <c:v>93.303733825683594</c:v>
              </c:pt>
              <c:pt idx="123">
                <c:v>93.303733825683594</c:v>
              </c:pt>
              <c:pt idx="124">
                <c:v>93.303733825683594</c:v>
              </c:pt>
              <c:pt idx="125">
                <c:v>93.303733825683594</c:v>
              </c:pt>
              <c:pt idx="126">
                <c:v>93.303733825683594</c:v>
              </c:pt>
              <c:pt idx="127">
                <c:v>93.303733825683594</c:v>
              </c:pt>
              <c:pt idx="128">
                <c:v>93.303733825683594</c:v>
              </c:pt>
              <c:pt idx="129">
                <c:v>93.303733825683594</c:v>
              </c:pt>
              <c:pt idx="130">
                <c:v>93.303733825683594</c:v>
              </c:pt>
              <c:pt idx="131">
                <c:v>93.303733825683594</c:v>
              </c:pt>
              <c:pt idx="132">
                <c:v>93.303733825683594</c:v>
              </c:pt>
              <c:pt idx="133">
                <c:v>93.303733825683594</c:v>
              </c:pt>
              <c:pt idx="134">
                <c:v>93.303733825683594</c:v>
              </c:pt>
              <c:pt idx="135">
                <c:v>93.303733825683594</c:v>
              </c:pt>
              <c:pt idx="136">
                <c:v>93.303733825683594</c:v>
              </c:pt>
              <c:pt idx="137">
                <c:v>93.139900207519531</c:v>
              </c:pt>
              <c:pt idx="138">
                <c:v>93.139900207519531</c:v>
              </c:pt>
              <c:pt idx="139">
                <c:v>94.829063415527344</c:v>
              </c:pt>
              <c:pt idx="140">
                <c:v>96.160438537597656</c:v>
              </c:pt>
              <c:pt idx="141">
                <c:v>96.160438537597656</c:v>
              </c:pt>
              <c:pt idx="142">
                <c:v>96.160438537597656</c:v>
              </c:pt>
              <c:pt idx="143">
                <c:v>96.031379699707031</c:v>
              </c:pt>
              <c:pt idx="144">
                <c:v>96.031379699707031</c:v>
              </c:pt>
              <c:pt idx="145">
                <c:v>96.031379699707031</c:v>
              </c:pt>
              <c:pt idx="146">
                <c:v>96.031379699707031</c:v>
              </c:pt>
              <c:pt idx="147">
                <c:v>96.031379699707031</c:v>
              </c:pt>
              <c:pt idx="148">
                <c:v>96.031379699707031</c:v>
              </c:pt>
              <c:pt idx="149">
                <c:v>95.4005126953125</c:v>
              </c:pt>
              <c:pt idx="150">
                <c:v>95.645271301269531</c:v>
              </c:pt>
              <c:pt idx="151">
                <c:v>95.645271301269531</c:v>
              </c:pt>
              <c:pt idx="152">
                <c:v>95.645271301269531</c:v>
              </c:pt>
              <c:pt idx="153">
                <c:v>95.645271301269531</c:v>
              </c:pt>
              <c:pt idx="154">
                <c:v>95.645271301269531</c:v>
              </c:pt>
              <c:pt idx="155">
                <c:v>95.645271301269531</c:v>
              </c:pt>
              <c:pt idx="156">
                <c:v>95.645271301269531</c:v>
              </c:pt>
              <c:pt idx="157">
                <c:v>97.5706787109375</c:v>
              </c:pt>
              <c:pt idx="158">
                <c:v>98.264572143554688</c:v>
              </c:pt>
              <c:pt idx="159">
                <c:v>98.264572143554688</c:v>
              </c:pt>
              <c:pt idx="160">
                <c:v>98.264572143554688</c:v>
              </c:pt>
              <c:pt idx="161">
                <c:v>98.264572143554688</c:v>
              </c:pt>
              <c:pt idx="162">
                <c:v>96.659011840820313</c:v>
              </c:pt>
              <c:pt idx="163">
                <c:v>96.659011840820313</c:v>
              </c:pt>
              <c:pt idx="164">
                <c:v>96.659011840820313</c:v>
              </c:pt>
              <c:pt idx="165">
                <c:v>96.659011840820313</c:v>
              </c:pt>
              <c:pt idx="166">
                <c:v>96.659011840820313</c:v>
              </c:pt>
              <c:pt idx="167">
                <c:v>96.659011840820313</c:v>
              </c:pt>
              <c:pt idx="168">
                <c:v>96.659011840820313</c:v>
              </c:pt>
              <c:pt idx="169">
                <c:v>96.659011840820313</c:v>
              </c:pt>
              <c:pt idx="170">
                <c:v>96.659011840820313</c:v>
              </c:pt>
              <c:pt idx="171">
                <c:v>96.659011840820313</c:v>
              </c:pt>
              <c:pt idx="172">
                <c:v>96.659011840820313</c:v>
              </c:pt>
              <c:pt idx="173">
                <c:v>96.659011840820313</c:v>
              </c:pt>
              <c:pt idx="174">
                <c:v>96.659011840820313</c:v>
              </c:pt>
              <c:pt idx="175">
                <c:v>96.659011840820313</c:v>
              </c:pt>
              <c:pt idx="176">
                <c:v>96.659011840820313</c:v>
              </c:pt>
              <c:pt idx="177">
                <c:v>96.611228942871094</c:v>
              </c:pt>
              <c:pt idx="178">
                <c:v>96.611228942871094</c:v>
              </c:pt>
              <c:pt idx="179">
                <c:v>96.611228942871094</c:v>
              </c:pt>
              <c:pt idx="180">
                <c:v>96.611228942871094</c:v>
              </c:pt>
              <c:pt idx="181">
                <c:v>96.611228942871094</c:v>
              </c:pt>
              <c:pt idx="182">
                <c:v>96.038177490234375</c:v>
              </c:pt>
              <c:pt idx="183">
                <c:v>96.038177490234375</c:v>
              </c:pt>
              <c:pt idx="184">
                <c:v>96.289138793945313</c:v>
              </c:pt>
              <c:pt idx="185">
                <c:v>96.289138793945313</c:v>
              </c:pt>
              <c:pt idx="186">
                <c:v>97.071968078613281</c:v>
              </c:pt>
              <c:pt idx="187">
                <c:v>97.071968078613281</c:v>
              </c:pt>
              <c:pt idx="188">
                <c:v>97.071968078613281</c:v>
              </c:pt>
              <c:pt idx="189">
                <c:v>97.071968078613281</c:v>
              </c:pt>
              <c:pt idx="190">
                <c:v>97.071968078613281</c:v>
              </c:pt>
              <c:pt idx="191">
                <c:v>97.071968078613281</c:v>
              </c:pt>
              <c:pt idx="192">
                <c:v>97.071968078613281</c:v>
              </c:pt>
              <c:pt idx="193">
                <c:v>95.631034851074219</c:v>
              </c:pt>
              <c:pt idx="194">
                <c:v>95.631034851074219</c:v>
              </c:pt>
              <c:pt idx="195">
                <c:v>95.631034851074219</c:v>
              </c:pt>
              <c:pt idx="196">
                <c:v>95.631034851074219</c:v>
              </c:pt>
              <c:pt idx="197">
                <c:v>95.631034851074219</c:v>
              </c:pt>
              <c:pt idx="198">
                <c:v>95.631034851074219</c:v>
              </c:pt>
              <c:pt idx="199">
                <c:v>95.598960876464844</c:v>
              </c:pt>
              <c:pt idx="200">
                <c:v>95.336441040039063</c:v>
              </c:pt>
              <c:pt idx="201">
                <c:v>95.336441040039063</c:v>
              </c:pt>
              <c:pt idx="202">
                <c:v>95.336441040039063</c:v>
              </c:pt>
              <c:pt idx="203">
                <c:v>95.336441040039063</c:v>
              </c:pt>
              <c:pt idx="204">
                <c:v>95.336441040039063</c:v>
              </c:pt>
              <c:pt idx="205">
                <c:v>95.336441040039063</c:v>
              </c:pt>
              <c:pt idx="206">
                <c:v>95.317909240722656</c:v>
              </c:pt>
              <c:pt idx="207">
                <c:v>95.317909240722656</c:v>
              </c:pt>
              <c:pt idx="208">
                <c:v>95.317909240722656</c:v>
              </c:pt>
              <c:pt idx="209">
                <c:v>95.317909240722656</c:v>
              </c:pt>
              <c:pt idx="210">
                <c:v>95.317909240722656</c:v>
              </c:pt>
              <c:pt idx="211">
                <c:v>95.317909240722656</c:v>
              </c:pt>
              <c:pt idx="212">
                <c:v>95.317909240722656</c:v>
              </c:pt>
              <c:pt idx="213">
                <c:v>95.317909240722656</c:v>
              </c:pt>
              <c:pt idx="214">
                <c:v>95.317909240722656</c:v>
              </c:pt>
              <c:pt idx="215">
                <c:v>95.317909240722656</c:v>
              </c:pt>
              <c:pt idx="216">
                <c:v>95.317909240722656</c:v>
              </c:pt>
              <c:pt idx="217">
                <c:v>95.317909240722656</c:v>
              </c:pt>
              <c:pt idx="218">
                <c:v>95.317909240722656</c:v>
              </c:pt>
              <c:pt idx="219">
                <c:v>95.317825317382813</c:v>
              </c:pt>
              <c:pt idx="220">
                <c:v>95.317825317382813</c:v>
              </c:pt>
              <c:pt idx="221">
                <c:v>95.317825317382813</c:v>
              </c:pt>
              <c:pt idx="222">
                <c:v>95.317825317382813</c:v>
              </c:pt>
              <c:pt idx="223">
                <c:v>95.317825317382813</c:v>
              </c:pt>
              <c:pt idx="224">
                <c:v>95.317825317382813</c:v>
              </c:pt>
              <c:pt idx="225">
                <c:v>95.317825317382813</c:v>
              </c:pt>
              <c:pt idx="226">
                <c:v>95.317825317382813</c:v>
              </c:pt>
              <c:pt idx="227">
                <c:v>95.317825317382813</c:v>
              </c:pt>
              <c:pt idx="228">
                <c:v>95.317825317382813</c:v>
              </c:pt>
              <c:pt idx="229">
                <c:v>95.317825317382813</c:v>
              </c:pt>
              <c:pt idx="230">
                <c:v>95.317825317382813</c:v>
              </c:pt>
              <c:pt idx="231">
                <c:v>95.317825317382813</c:v>
              </c:pt>
              <c:pt idx="232">
                <c:v>93.764778137207031</c:v>
              </c:pt>
              <c:pt idx="233">
                <c:v>93.850906372070313</c:v>
              </c:pt>
              <c:pt idx="234">
                <c:v>95.211723327636719</c:v>
              </c:pt>
              <c:pt idx="235">
                <c:v>93.319580078125</c:v>
              </c:pt>
              <c:pt idx="236">
                <c:v>91.892082214355469</c:v>
              </c:pt>
              <c:pt idx="237">
                <c:v>91.892082214355469</c:v>
              </c:pt>
              <c:pt idx="238">
                <c:v>91.892082214355469</c:v>
              </c:pt>
              <c:pt idx="239">
                <c:v>91.892082214355469</c:v>
              </c:pt>
              <c:pt idx="240">
                <c:v>91.777885437011719</c:v>
              </c:pt>
              <c:pt idx="241">
                <c:v>91.900001525878906</c:v>
              </c:pt>
              <c:pt idx="242">
                <c:v>91.777885437011719</c:v>
              </c:pt>
              <c:pt idx="243">
                <c:v>91.777885437011719</c:v>
              </c:pt>
              <c:pt idx="244">
                <c:v>91.777885437011719</c:v>
              </c:pt>
              <c:pt idx="245">
                <c:v>91.777885437011719</c:v>
              </c:pt>
              <c:pt idx="246">
                <c:v>91.777885437011719</c:v>
              </c:pt>
              <c:pt idx="247">
                <c:v>91.777885437011719</c:v>
              </c:pt>
              <c:pt idx="248">
                <c:v>91.777885437011719</c:v>
              </c:pt>
              <c:pt idx="249">
                <c:v>91.729598999023438</c:v>
              </c:pt>
              <c:pt idx="250">
                <c:v>90.508392333984375</c:v>
              </c:pt>
              <c:pt idx="251">
                <c:v>90.508392333984375</c:v>
              </c:pt>
              <c:pt idx="252">
                <c:v>90.508392333984375</c:v>
              </c:pt>
              <c:pt idx="253">
                <c:v>90.508392333984375</c:v>
              </c:pt>
              <c:pt idx="254">
                <c:v>90.508392333984375</c:v>
              </c:pt>
              <c:pt idx="255">
                <c:v>90.440383911132813</c:v>
              </c:pt>
              <c:pt idx="256">
                <c:v>90.440383911132813</c:v>
              </c:pt>
              <c:pt idx="257">
                <c:v>90.440383911132813</c:v>
              </c:pt>
              <c:pt idx="258">
                <c:v>90.440383911132813</c:v>
              </c:pt>
              <c:pt idx="259">
                <c:v>90.440383911132813</c:v>
              </c:pt>
              <c:pt idx="260">
                <c:v>90.440383911132813</c:v>
              </c:pt>
              <c:pt idx="261">
                <c:v>90.074028015136719</c:v>
              </c:pt>
              <c:pt idx="262">
                <c:v>90.074028015136719</c:v>
              </c:pt>
              <c:pt idx="263">
                <c:v>90.074028015136719</c:v>
              </c:pt>
              <c:pt idx="264">
                <c:v>90.074028015136719</c:v>
              </c:pt>
              <c:pt idx="265">
                <c:v>90.074028015136719</c:v>
              </c:pt>
              <c:pt idx="266">
                <c:v>90.074028015136719</c:v>
              </c:pt>
              <c:pt idx="267">
                <c:v>90.074028015136719</c:v>
              </c:pt>
              <c:pt idx="268">
                <c:v>89.909164428710938</c:v>
              </c:pt>
              <c:pt idx="269">
                <c:v>89.909164428710938</c:v>
              </c:pt>
              <c:pt idx="270">
                <c:v>89.909164428710938</c:v>
              </c:pt>
              <c:pt idx="271">
                <c:v>89.909164428710938</c:v>
              </c:pt>
              <c:pt idx="272">
                <c:v>89.909164428710938</c:v>
              </c:pt>
              <c:pt idx="273">
                <c:v>89.909164428710938</c:v>
              </c:pt>
              <c:pt idx="274">
                <c:v>89.909164428710938</c:v>
              </c:pt>
              <c:pt idx="275">
                <c:v>89.909164428710938</c:v>
              </c:pt>
              <c:pt idx="276">
                <c:v>89.909164428710938</c:v>
              </c:pt>
              <c:pt idx="277">
                <c:v>89.909164428710938</c:v>
              </c:pt>
              <c:pt idx="278">
                <c:v>89.909164428710938</c:v>
              </c:pt>
              <c:pt idx="279">
                <c:v>89.909164428710938</c:v>
              </c:pt>
              <c:pt idx="280">
                <c:v>91.763946533203125</c:v>
              </c:pt>
              <c:pt idx="281">
                <c:v>91.763946533203125</c:v>
              </c:pt>
              <c:pt idx="282">
                <c:v>91.746658325195313</c:v>
              </c:pt>
              <c:pt idx="283">
                <c:v>91.746658325195313</c:v>
              </c:pt>
              <c:pt idx="284">
                <c:v>91.746658325195313</c:v>
              </c:pt>
              <c:pt idx="285">
                <c:v>91.746658325195313</c:v>
              </c:pt>
              <c:pt idx="286">
                <c:v>91.746658325195313</c:v>
              </c:pt>
              <c:pt idx="287">
                <c:v>91.724258422851563</c:v>
              </c:pt>
              <c:pt idx="288">
                <c:v>91.724258422851563</c:v>
              </c:pt>
              <c:pt idx="289">
                <c:v>91.12176513671875</c:v>
              </c:pt>
              <c:pt idx="290">
                <c:v>91.12176513671875</c:v>
              </c:pt>
              <c:pt idx="291">
                <c:v>91.12176513671875</c:v>
              </c:pt>
              <c:pt idx="292">
                <c:v>91.12176513671875</c:v>
              </c:pt>
              <c:pt idx="293">
                <c:v>91.12176513671875</c:v>
              </c:pt>
              <c:pt idx="294">
                <c:v>89.393844604492188</c:v>
              </c:pt>
              <c:pt idx="295">
                <c:v>89.393844604492188</c:v>
              </c:pt>
              <c:pt idx="296">
                <c:v>89.018486022949219</c:v>
              </c:pt>
              <c:pt idx="297">
                <c:v>89.018486022949219</c:v>
              </c:pt>
              <c:pt idx="298">
                <c:v>89.018486022949219</c:v>
              </c:pt>
              <c:pt idx="299">
                <c:v>89.018486022949219</c:v>
              </c:pt>
              <c:pt idx="300">
                <c:v>89.018486022949219</c:v>
              </c:pt>
              <c:pt idx="301">
                <c:v>89.018486022949219</c:v>
              </c:pt>
              <c:pt idx="302">
                <c:v>89.018486022949219</c:v>
              </c:pt>
              <c:pt idx="303">
                <c:v>89.018486022949219</c:v>
              </c:pt>
              <c:pt idx="304">
                <c:v>89.018486022949219</c:v>
              </c:pt>
              <c:pt idx="305">
                <c:v>88.9998779296875</c:v>
              </c:pt>
              <c:pt idx="306">
                <c:v>88.9998779296875</c:v>
              </c:pt>
              <c:pt idx="307">
                <c:v>88.9998779296875</c:v>
              </c:pt>
              <c:pt idx="308">
                <c:v>89.528541564941406</c:v>
              </c:pt>
              <c:pt idx="309">
                <c:v>88.966453552246094</c:v>
              </c:pt>
              <c:pt idx="310">
                <c:v>88.966453552246094</c:v>
              </c:pt>
              <c:pt idx="311">
                <c:v>88.966453552246094</c:v>
              </c:pt>
              <c:pt idx="312">
                <c:v>88.966453552246094</c:v>
              </c:pt>
              <c:pt idx="313">
                <c:v>88.966453552246094</c:v>
              </c:pt>
              <c:pt idx="314">
                <c:v>88.966453552246094</c:v>
              </c:pt>
              <c:pt idx="315">
                <c:v>87.955986022949219</c:v>
              </c:pt>
              <c:pt idx="316">
                <c:v>87.955986022949219</c:v>
              </c:pt>
              <c:pt idx="317">
                <c:v>87.955986022949219</c:v>
              </c:pt>
              <c:pt idx="318">
                <c:v>87.955986022949219</c:v>
              </c:pt>
              <c:pt idx="319">
                <c:v>87.955986022949219</c:v>
              </c:pt>
              <c:pt idx="320">
                <c:v>87.955986022949219</c:v>
              </c:pt>
              <c:pt idx="321">
                <c:v>87.955986022949219</c:v>
              </c:pt>
              <c:pt idx="322">
                <c:v>87.955986022949219</c:v>
              </c:pt>
              <c:pt idx="323">
                <c:v>87.955986022949219</c:v>
              </c:pt>
              <c:pt idx="324">
                <c:v>87.955986022949219</c:v>
              </c:pt>
              <c:pt idx="325">
                <c:v>88.768341064453125</c:v>
              </c:pt>
              <c:pt idx="326">
                <c:v>89.080528259277344</c:v>
              </c:pt>
              <c:pt idx="327">
                <c:v>89.080528259277344</c:v>
              </c:pt>
              <c:pt idx="328">
                <c:v>89.080528259277344</c:v>
              </c:pt>
              <c:pt idx="329">
                <c:v>89.110183715820313</c:v>
              </c:pt>
              <c:pt idx="330">
                <c:v>89.110183715820313</c:v>
              </c:pt>
              <c:pt idx="331">
                <c:v>89.110183715820313</c:v>
              </c:pt>
              <c:pt idx="332">
                <c:v>87.301101684570313</c:v>
              </c:pt>
              <c:pt idx="333">
                <c:v>87.377799987792969</c:v>
              </c:pt>
              <c:pt idx="334">
                <c:v>87.377799987792969</c:v>
              </c:pt>
              <c:pt idx="335">
                <c:v>87.377799987792969</c:v>
              </c:pt>
              <c:pt idx="336">
                <c:v>87.377799987792969</c:v>
              </c:pt>
              <c:pt idx="337">
                <c:v>85.755302429199219</c:v>
              </c:pt>
              <c:pt idx="338">
                <c:v>85.755302429199219</c:v>
              </c:pt>
              <c:pt idx="339">
                <c:v>85.755302429199219</c:v>
              </c:pt>
              <c:pt idx="340">
                <c:v>85.485435485839844</c:v>
              </c:pt>
              <c:pt idx="341">
                <c:v>85.485435485839844</c:v>
              </c:pt>
              <c:pt idx="342">
                <c:v>85.485435485839844</c:v>
              </c:pt>
              <c:pt idx="343">
                <c:v>85.485435485839844</c:v>
              </c:pt>
              <c:pt idx="344">
                <c:v>85.485435485839844</c:v>
              </c:pt>
              <c:pt idx="345">
                <c:v>85.485435485839844</c:v>
              </c:pt>
              <c:pt idx="346">
                <c:v>85.485435485839844</c:v>
              </c:pt>
              <c:pt idx="347">
                <c:v>85.449325561523438</c:v>
              </c:pt>
              <c:pt idx="348">
                <c:v>85.449325561523438</c:v>
              </c:pt>
              <c:pt idx="349">
                <c:v>85.449325561523438</c:v>
              </c:pt>
              <c:pt idx="350">
                <c:v>85.449325561523438</c:v>
              </c:pt>
              <c:pt idx="351">
                <c:v>85.449325561523438</c:v>
              </c:pt>
              <c:pt idx="352">
                <c:v>85.449325561523438</c:v>
              </c:pt>
              <c:pt idx="353">
                <c:v>85.395347595214844</c:v>
              </c:pt>
              <c:pt idx="354">
                <c:v>85.395347595214844</c:v>
              </c:pt>
              <c:pt idx="355">
                <c:v>85.395347595214844</c:v>
              </c:pt>
              <c:pt idx="356">
                <c:v>85.395347595214844</c:v>
              </c:pt>
              <c:pt idx="357">
                <c:v>85.395347595214844</c:v>
              </c:pt>
              <c:pt idx="358">
                <c:v>84.404937744140625</c:v>
              </c:pt>
              <c:pt idx="359">
                <c:v>83.65509033203125</c:v>
              </c:pt>
              <c:pt idx="360">
                <c:v>83.65509033203125</c:v>
              </c:pt>
              <c:pt idx="361">
                <c:v>83.65509033203125</c:v>
              </c:pt>
              <c:pt idx="362">
                <c:v>83.65509033203125</c:v>
              </c:pt>
              <c:pt idx="363">
                <c:v>83.65509033203125</c:v>
              </c:pt>
              <c:pt idx="364">
                <c:v>83.65509033203125</c:v>
              </c:pt>
              <c:pt idx="365">
                <c:v>83.613914489746094</c:v>
              </c:pt>
              <c:pt idx="366">
                <c:v>83.613914489746094</c:v>
              </c:pt>
              <c:pt idx="367">
                <c:v>83.613914489746094</c:v>
              </c:pt>
              <c:pt idx="368">
                <c:v>83.613914489746094</c:v>
              </c:pt>
              <c:pt idx="369">
                <c:v>83.613914489746094</c:v>
              </c:pt>
              <c:pt idx="370">
                <c:v>83.613914489746094</c:v>
              </c:pt>
              <c:pt idx="371">
                <c:v>83.613914489746094</c:v>
              </c:pt>
              <c:pt idx="372">
                <c:v>83.613914489746094</c:v>
              </c:pt>
              <c:pt idx="373">
                <c:v>81.249755859375</c:v>
              </c:pt>
              <c:pt idx="374">
                <c:v>81.249755859375</c:v>
              </c:pt>
              <c:pt idx="375">
                <c:v>81.290382385253906</c:v>
              </c:pt>
              <c:pt idx="376">
                <c:v>81.290382385253906</c:v>
              </c:pt>
              <c:pt idx="377">
                <c:v>81.290382385253906</c:v>
              </c:pt>
              <c:pt idx="378">
                <c:v>80.784088134765625</c:v>
              </c:pt>
              <c:pt idx="379">
                <c:v>80.784088134765625</c:v>
              </c:pt>
              <c:pt idx="380">
                <c:v>80.784088134765625</c:v>
              </c:pt>
              <c:pt idx="381">
                <c:v>80.411064147949219</c:v>
              </c:pt>
              <c:pt idx="382">
                <c:v>80.336517333984375</c:v>
              </c:pt>
              <c:pt idx="383">
                <c:v>80.336517333984375</c:v>
              </c:pt>
              <c:pt idx="384">
                <c:v>80.336517333984375</c:v>
              </c:pt>
              <c:pt idx="385">
                <c:v>80.336517333984375</c:v>
              </c:pt>
              <c:pt idx="386">
                <c:v>80.336517333984375</c:v>
              </c:pt>
              <c:pt idx="387">
                <c:v>81.911170959472656</c:v>
              </c:pt>
              <c:pt idx="388">
                <c:v>81.941276550292969</c:v>
              </c:pt>
              <c:pt idx="389">
                <c:v>81.941276550292969</c:v>
              </c:pt>
              <c:pt idx="390">
                <c:v>81.941276550292969</c:v>
              </c:pt>
              <c:pt idx="391">
                <c:v>81.941276550292969</c:v>
              </c:pt>
              <c:pt idx="392">
                <c:v>81.941276550292969</c:v>
              </c:pt>
              <c:pt idx="393">
                <c:v>81.941276550292969</c:v>
              </c:pt>
              <c:pt idx="394">
                <c:v>81.941276550292969</c:v>
              </c:pt>
              <c:pt idx="395">
                <c:v>81.941276550292969</c:v>
              </c:pt>
              <c:pt idx="396">
                <c:v>81.941276550292969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10BD-4D74-9F3F-F8E5228CB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271616"/>
        <c:axId val="632273152"/>
      </c:lineChart>
      <c:catAx>
        <c:axId val="6322641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2265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32265728"/>
        <c:scaling>
          <c:orientation val="minMax"/>
          <c:max val="1.03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2264192"/>
        <c:crosses val="autoZero"/>
        <c:crossBetween val="between"/>
      </c:valAx>
      <c:catAx>
        <c:axId val="63227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9525">
            <a:noFill/>
          </a:ln>
        </c:spPr>
        <c:crossAx val="632273152"/>
        <c:crosses val="autoZero"/>
        <c:auto val="1"/>
        <c:lblAlgn val="ctr"/>
        <c:lblOffset val="100"/>
        <c:noMultiLvlLbl val="0"/>
      </c:catAx>
      <c:valAx>
        <c:axId val="632273152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2271616"/>
        <c:crosses val="max"/>
        <c:crossBetween val="between"/>
      </c:valAx>
      <c:spPr>
        <a:solidFill>
          <a:srgbClr val="EEEEEE"/>
        </a:solidFill>
        <a:ln w="12700">
          <a:solidFill>
            <a:srgbClr val="7D7D7D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3732743778022695E-2"/>
          <c:y val="0.92523366397382145"/>
          <c:w val="0.8075427671035218"/>
          <c:h val="6.54204588062855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solidFill>
        <a:schemeClr val="tx1"/>
      </a:solidFill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r>
              <a:rPr lang="en-US" sz="1050">
                <a:latin typeface="+mn-lt"/>
              </a:rPr>
              <a:t>Brokers' Target Price</a:t>
            </a:r>
          </a:p>
        </c:rich>
      </c:tx>
      <c:layout>
        <c:manualLayout>
          <c:xMode val="edge"/>
          <c:yMode val="edge"/>
          <c:x val="0.4013725382229319"/>
          <c:y val="2.00804444898933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6603820992426189E-2"/>
          <c:y val="0.13253064025884892"/>
          <c:w val="0.92281380890682696"/>
          <c:h val="0.52209040101970783"/>
        </c:manualLayout>
      </c:layout>
      <c:barChart>
        <c:barDir val="col"/>
        <c:grouping val="clustered"/>
        <c:varyColors val="0"/>
        <c:ser>
          <c:idx val="0"/>
          <c:order val="0"/>
          <c:tx>
            <c:v>Brokers Target Price</c:v>
          </c:tx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C59-4EEB-99EC-FC1A26D53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290304"/>
        <c:axId val="636293888"/>
      </c:barChart>
      <c:catAx>
        <c:axId val="63229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636293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362938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2290304"/>
        <c:crosses val="autoZero"/>
        <c:crossBetween val="between"/>
      </c:valAx>
      <c:spPr>
        <a:noFill/>
        <a:ln w="3175">
          <a:solidFill>
            <a:srgbClr val="E0E0E0"/>
          </a:solidFill>
          <a:prstDash val="sysDash"/>
        </a:ln>
      </c:spPr>
    </c:plotArea>
    <c:plotVisOnly val="1"/>
    <c:dispBlanksAs val="gap"/>
    <c:showDLblsOverMax val="0"/>
  </c:chart>
  <c:spPr>
    <a:noFill/>
    <a:ln w="9525">
      <a:solidFill>
        <a:schemeClr val="tx1"/>
      </a:solidFill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243840</xdr:colOff>
      <xdr:row>9</xdr:row>
      <xdr:rowOff>22860</xdr:rowOff>
    </xdr:from>
    <xdr:to>
      <xdr:col>12</xdr:col>
      <xdr:colOff>7620</xdr:colOff>
      <xdr:row>26</xdr:row>
      <xdr:rowOff>45720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9E2B026-2B2C-4269-84DD-8824DACA7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7621</xdr:colOff>
      <xdr:row>9</xdr:row>
      <xdr:rowOff>30480</xdr:rowOff>
    </xdr:from>
    <xdr:to>
      <xdr:col>15</xdr:col>
      <xdr:colOff>7620</xdr:colOff>
      <xdr:row>26</xdr:row>
      <xdr:rowOff>83820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F07E7964-520B-4248-96D6-62AD869B4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</xdr:rowOff>
    </xdr:from>
    <xdr:to>
      <xdr:col>9</xdr:col>
      <xdr:colOff>38100</xdr:colOff>
      <xdr:row>17</xdr:row>
      <xdr:rowOff>152400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4CAA5B96-B4CB-46DC-912E-CA2FD9434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15240</xdr:colOff>
      <xdr:row>17</xdr:row>
      <xdr:rowOff>160020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D470E08C-7385-4112-B78E-992A0F2C8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205-2F92-4BF5-A3AC-E6F94476A2DB}">
  <sheetPr>
    <tabColor theme="3" tint="0.249977111117893"/>
  </sheetPr>
  <dimension ref="A1:W65"/>
  <sheetViews>
    <sheetView showGridLines="0" tabSelected="1" zoomScale="110" zoomScaleNormal="110" workbookViewId="0">
      <pane xSplit="1" topLeftCell="B1" activePane="topRight" state="frozen"/>
      <selection pane="topRight" activeCell="D14" sqref="D14"/>
    </sheetView>
  </sheetViews>
  <sheetFormatPr baseColWidth="10" defaultRowHeight="14.4" x14ac:dyDescent="0.3"/>
  <cols>
    <col min="1" max="1" width="32.6640625" style="113" customWidth="1"/>
    <col min="2" max="2" width="11.77734375" bestFit="1" customWidth="1"/>
    <col min="3" max="3" width="11.77734375" customWidth="1"/>
    <col min="4" max="4" width="14.21875" bestFit="1" customWidth="1"/>
    <col min="5" max="7" width="11.77734375" bestFit="1" customWidth="1"/>
    <col min="8" max="8" width="11.77734375" customWidth="1"/>
    <col min="9" max="9" width="14.21875" bestFit="1" customWidth="1"/>
    <col min="10" max="12" width="11.77734375" bestFit="1" customWidth="1"/>
    <col min="13" max="13" width="11.77734375" customWidth="1"/>
    <col min="14" max="14" width="14.21875" bestFit="1" customWidth="1"/>
    <col min="15" max="17" width="11.77734375" bestFit="1" customWidth="1"/>
    <col min="18" max="18" width="11.77734375" customWidth="1"/>
    <col min="19" max="19" width="14.21875" bestFit="1" customWidth="1"/>
    <col min="20" max="22" width="11.77734375" bestFit="1" customWidth="1"/>
    <col min="23" max="23" width="11.88671875" bestFit="1" customWidth="1"/>
  </cols>
  <sheetData>
    <row r="1" spans="1:23" x14ac:dyDescent="0.3">
      <c r="A1" s="110" t="s">
        <v>0</v>
      </c>
      <c r="B1" s="108" t="s">
        <v>1</v>
      </c>
      <c r="C1" s="108">
        <v>2024</v>
      </c>
      <c r="D1" s="13" t="s">
        <v>2</v>
      </c>
      <c r="E1" s="13" t="s">
        <v>3</v>
      </c>
      <c r="F1" s="13" t="s">
        <v>4</v>
      </c>
      <c r="G1" s="13" t="s">
        <v>5</v>
      </c>
      <c r="H1" s="108">
        <v>2023</v>
      </c>
      <c r="I1" s="13" t="s">
        <v>6</v>
      </c>
      <c r="J1" s="13" t="s">
        <v>7</v>
      </c>
      <c r="K1" s="13" t="s">
        <v>8</v>
      </c>
      <c r="L1" s="13" t="s">
        <v>9</v>
      </c>
      <c r="M1" s="108">
        <v>2022</v>
      </c>
      <c r="N1" s="13" t="s">
        <v>10</v>
      </c>
      <c r="O1" s="13" t="s">
        <v>11</v>
      </c>
      <c r="P1" s="13" t="s">
        <v>12</v>
      </c>
      <c r="Q1" s="13" t="s">
        <v>13</v>
      </c>
      <c r="R1" s="108">
        <v>2021</v>
      </c>
      <c r="S1" s="13" t="s">
        <v>14</v>
      </c>
      <c r="T1" s="13" t="s">
        <v>15</v>
      </c>
      <c r="U1" s="13" t="s">
        <v>16</v>
      </c>
      <c r="V1" s="13" t="s">
        <v>17</v>
      </c>
      <c r="W1" s="140">
        <f>11433.4/C3</f>
        <v>1</v>
      </c>
    </row>
    <row r="2" spans="1:23" x14ac:dyDescent="0.3">
      <c r="A2" s="111" t="s">
        <v>21</v>
      </c>
      <c r="B2" s="109">
        <v>45747</v>
      </c>
      <c r="C2" s="109"/>
      <c r="D2" s="3">
        <v>45657</v>
      </c>
      <c r="E2" s="3">
        <v>45565</v>
      </c>
      <c r="F2" s="3">
        <v>45473</v>
      </c>
      <c r="G2" s="3">
        <v>45382</v>
      </c>
      <c r="H2" s="109"/>
      <c r="I2" s="3">
        <v>45291</v>
      </c>
      <c r="J2" s="3">
        <v>45199</v>
      </c>
      <c r="K2" s="3">
        <v>45107</v>
      </c>
      <c r="L2" s="3">
        <v>45016</v>
      </c>
      <c r="M2" s="109"/>
      <c r="N2" s="3">
        <v>44926</v>
      </c>
      <c r="O2" s="3">
        <v>44834</v>
      </c>
      <c r="P2" s="3">
        <v>44742</v>
      </c>
      <c r="Q2" s="3">
        <v>44651</v>
      </c>
      <c r="R2" s="109"/>
      <c r="S2" s="3">
        <v>44561</v>
      </c>
      <c r="T2" s="3">
        <v>44469</v>
      </c>
      <c r="U2" s="3">
        <v>44377</v>
      </c>
      <c r="V2" s="3">
        <v>44286</v>
      </c>
      <c r="W2">
        <v>6.5938341989697415E-3</v>
      </c>
    </row>
    <row r="3" spans="1:23" x14ac:dyDescent="0.3">
      <c r="A3" s="112" t="s">
        <v>42</v>
      </c>
      <c r="B3" s="141">
        <v>3138.9287972538691</v>
      </c>
      <c r="C3" s="142">
        <v>11433.4</v>
      </c>
      <c r="D3" s="141">
        <v>2798.4530450668913</v>
      </c>
      <c r="E3" s="141">
        <v>2884.3009798781422</v>
      </c>
      <c r="F3" s="141">
        <v>3203.8695837613668</v>
      </c>
      <c r="G3" s="141">
        <v>2546.7763912936002</v>
      </c>
      <c r="H3" s="142">
        <v>9150.2665502157106</v>
      </c>
      <c r="I3" s="141">
        <v>2237.3293460910386</v>
      </c>
      <c r="J3" s="141">
        <v>2388.7868102677107</v>
      </c>
      <c r="K3" s="141">
        <v>2085.5169515431949</v>
      </c>
      <c r="L3" s="141">
        <v>2438.6334423137669</v>
      </c>
      <c r="M3" s="142">
        <v>8689.320279527843</v>
      </c>
      <c r="N3" s="141">
        <v>2626.7455329173067</v>
      </c>
      <c r="O3" s="141">
        <v>1967.8711481426401</v>
      </c>
      <c r="P3" s="141">
        <v>1974.7751815126023</v>
      </c>
      <c r="Q3" s="141">
        <v>2119.9284169552939</v>
      </c>
      <c r="R3" s="142">
        <v>7924.7106558845235</v>
      </c>
      <c r="S3" s="141">
        <v>2117.1619426337757</v>
      </c>
      <c r="T3" s="141">
        <v>1946.0766160011665</v>
      </c>
      <c r="U3" s="141">
        <v>2090.6127338692668</v>
      </c>
      <c r="V3" s="141">
        <v>1770.8593633803143</v>
      </c>
    </row>
    <row r="4" spans="1:23" x14ac:dyDescent="0.3">
      <c r="A4" s="112" t="s">
        <v>43</v>
      </c>
      <c r="B4" s="141">
        <v>3138.9204023148891</v>
      </c>
      <c r="C4" s="142">
        <v>11433.386281674275</v>
      </c>
      <c r="D4" s="141">
        <v>2798.4564109225271</v>
      </c>
      <c r="E4" s="141">
        <v>2884.2923710821065</v>
      </c>
      <c r="F4" s="141">
        <v>3203.8612958737767</v>
      </c>
      <c r="G4" s="141">
        <v>2546.7762037958655</v>
      </c>
      <c r="H4" s="142">
        <v>9150.2360898545758</v>
      </c>
      <c r="I4" s="141">
        <v>2237.3279954222139</v>
      </c>
      <c r="J4" s="141">
        <v>2388.7837347248983</v>
      </c>
      <c r="K4" s="141">
        <v>2085.5056554043922</v>
      </c>
      <c r="L4" s="141">
        <v>2438.6187043030709</v>
      </c>
      <c r="M4" s="142">
        <v>8689.3014462418305</v>
      </c>
      <c r="N4" s="141">
        <v>2626.7336024891893</v>
      </c>
      <c r="O4" s="141">
        <v>1967.8697690162423</v>
      </c>
      <c r="P4" s="141">
        <v>1974.7619125645467</v>
      </c>
      <c r="Q4" s="141">
        <v>2119.9361621718513</v>
      </c>
      <c r="R4" s="142">
        <v>7924.6939636862717</v>
      </c>
      <c r="S4" s="141">
        <v>2117.1541847130975</v>
      </c>
      <c r="T4" s="141">
        <v>1946.0787319335873</v>
      </c>
      <c r="U4" s="141">
        <v>2090.6042406760553</v>
      </c>
      <c r="V4" s="141">
        <v>1770.8568063635328</v>
      </c>
    </row>
    <row r="5" spans="1:23" x14ac:dyDescent="0.3">
      <c r="A5" s="112" t="s">
        <v>44</v>
      </c>
      <c r="B5" s="141">
        <v>1326.392195372626</v>
      </c>
      <c r="C5" s="142">
        <v>4838.8700502294605</v>
      </c>
      <c r="D5" s="141">
        <v>1218.0617477990916</v>
      </c>
      <c r="E5" s="141">
        <v>1203.6500730391772</v>
      </c>
      <c r="F5" s="141">
        <v>1283.167871088978</v>
      </c>
      <c r="G5" s="141">
        <v>1133.9903583022131</v>
      </c>
      <c r="H5" s="142">
        <v>4343.9767456673881</v>
      </c>
      <c r="I5" s="141">
        <v>1140.3979297105475</v>
      </c>
      <c r="J5" s="141">
        <v>1120.8864291650955</v>
      </c>
      <c r="K5" s="141">
        <v>1040.3506935748344</v>
      </c>
      <c r="L5" s="141">
        <v>1042.3416932169109</v>
      </c>
      <c r="M5" s="142">
        <v>4040.6480434115388</v>
      </c>
      <c r="N5" s="141">
        <v>1123.9733756990227</v>
      </c>
      <c r="O5" s="141">
        <v>1038.1746998764813</v>
      </c>
      <c r="P5" s="141">
        <v>1067.2052002229052</v>
      </c>
      <c r="Q5" s="141">
        <v>811.29476761312947</v>
      </c>
      <c r="R5" s="142">
        <v>2822.3839186761688</v>
      </c>
      <c r="S5" s="141">
        <v>777.97187451156628</v>
      </c>
      <c r="T5" s="141">
        <v>673.27689353142682</v>
      </c>
      <c r="U5" s="141">
        <v>711.18069699214789</v>
      </c>
      <c r="V5" s="141">
        <v>659.9544536410275</v>
      </c>
    </row>
    <row r="6" spans="1:23" x14ac:dyDescent="0.3">
      <c r="A6" s="112" t="s">
        <v>45</v>
      </c>
      <c r="B6" s="141">
        <v>1326.392195372626</v>
      </c>
      <c r="C6" s="142">
        <v>4838.8700502294605</v>
      </c>
      <c r="D6" s="141">
        <v>1218.0617477990916</v>
      </c>
      <c r="E6" s="141">
        <v>1203.6500730391772</v>
      </c>
      <c r="F6" s="141">
        <v>1283.167871088978</v>
      </c>
      <c r="G6" s="141">
        <v>1133.9903583022131</v>
      </c>
      <c r="H6" s="142">
        <v>4343.9767456673881</v>
      </c>
      <c r="I6" s="141">
        <v>1140.3979297105475</v>
      </c>
      <c r="J6" s="141">
        <v>1120.8864291650955</v>
      </c>
      <c r="K6" s="141">
        <v>1040.3506935748344</v>
      </c>
      <c r="L6" s="141">
        <v>1042.3416932169109</v>
      </c>
      <c r="M6" s="142">
        <v>4040.6480434115388</v>
      </c>
      <c r="N6" s="141">
        <v>1123.9733756990227</v>
      </c>
      <c r="O6" s="141">
        <v>1038.1746998764813</v>
      </c>
      <c r="P6" s="141">
        <v>1067.2052002229052</v>
      </c>
      <c r="Q6" s="141">
        <v>811.29476761312947</v>
      </c>
      <c r="R6" s="142">
        <v>2822.3839186761688</v>
      </c>
      <c r="S6" s="141">
        <v>777.97187451156628</v>
      </c>
      <c r="T6" s="141">
        <v>673.27689353142682</v>
      </c>
      <c r="U6" s="141">
        <v>711.18069699214789</v>
      </c>
      <c r="V6" s="141">
        <v>659.9544536410275</v>
      </c>
    </row>
    <row r="7" spans="1:23" x14ac:dyDescent="0.3">
      <c r="A7" s="112" t="s">
        <v>46</v>
      </c>
      <c r="B7" s="141">
        <v>1812.5282069422628</v>
      </c>
      <c r="C7" s="142">
        <v>6594.5162314448162</v>
      </c>
      <c r="D7" s="141">
        <v>1580.3946631234357</v>
      </c>
      <c r="E7" s="141">
        <v>1680.6422980429295</v>
      </c>
      <c r="F7" s="141">
        <v>1920.6934247847987</v>
      </c>
      <c r="G7" s="141">
        <v>1412.7858454936525</v>
      </c>
      <c r="H7" s="142">
        <v>4806.2593441871877</v>
      </c>
      <c r="I7" s="141">
        <v>1096.9300657116667</v>
      </c>
      <c r="J7" s="141">
        <v>1267.897305559803</v>
      </c>
      <c r="K7" s="141">
        <v>1045.154961829558</v>
      </c>
      <c r="L7" s="141">
        <v>1396.27701108616</v>
      </c>
      <c r="M7" s="142">
        <v>4648.6534028302913</v>
      </c>
      <c r="N7" s="141">
        <v>1502.7602267901668</v>
      </c>
      <c r="O7" s="141">
        <v>929.69506913976124</v>
      </c>
      <c r="P7" s="141">
        <v>907.55671234164129</v>
      </c>
      <c r="Q7" s="141">
        <v>1308.6413945587221</v>
      </c>
      <c r="R7" s="142">
        <v>5102.3100450101037</v>
      </c>
      <c r="S7" s="141">
        <v>1339.182310201531</v>
      </c>
      <c r="T7" s="141">
        <v>1272.8018384021607</v>
      </c>
      <c r="U7" s="141">
        <v>1379.4235436839072</v>
      </c>
      <c r="V7" s="141">
        <v>1110.9023527225052</v>
      </c>
    </row>
    <row r="8" spans="1:23" x14ac:dyDescent="0.3">
      <c r="A8" s="112" t="s">
        <v>47</v>
      </c>
      <c r="B8" s="141">
        <v>0</v>
      </c>
      <c r="C8" s="142">
        <v>0</v>
      </c>
      <c r="D8" s="141">
        <v>0</v>
      </c>
      <c r="E8" s="141">
        <v>0</v>
      </c>
      <c r="F8" s="141">
        <v>0</v>
      </c>
      <c r="G8" s="141">
        <v>0</v>
      </c>
      <c r="H8" s="142">
        <v>0</v>
      </c>
      <c r="I8" s="141">
        <v>0</v>
      </c>
      <c r="J8" s="141">
        <v>0</v>
      </c>
      <c r="K8" s="141">
        <v>0</v>
      </c>
      <c r="L8" s="141">
        <v>0</v>
      </c>
      <c r="M8" s="142">
        <v>0</v>
      </c>
      <c r="N8" s="141">
        <v>0</v>
      </c>
      <c r="O8" s="141">
        <v>0</v>
      </c>
      <c r="P8" s="141">
        <v>0</v>
      </c>
      <c r="Q8" s="141">
        <v>0</v>
      </c>
      <c r="R8" s="142">
        <v>0</v>
      </c>
      <c r="S8" s="141">
        <v>0</v>
      </c>
      <c r="T8" s="141">
        <v>0</v>
      </c>
      <c r="U8" s="141">
        <v>0</v>
      </c>
      <c r="V8" s="141">
        <v>0</v>
      </c>
    </row>
    <row r="9" spans="1:23" x14ac:dyDescent="0.3">
      <c r="A9" s="112" t="s">
        <v>48</v>
      </c>
      <c r="B9" s="141">
        <v>246.23517938656468</v>
      </c>
      <c r="C9" s="142">
        <v>957.29496063193426</v>
      </c>
      <c r="D9" s="141">
        <v>251.97465151681843</v>
      </c>
      <c r="E9" s="141">
        <v>194.55614376571444</v>
      </c>
      <c r="F9" s="141">
        <v>269.29161583186891</v>
      </c>
      <c r="G9" s="141">
        <v>241.47254951753243</v>
      </c>
      <c r="H9" s="142">
        <v>834.88428045664432</v>
      </c>
      <c r="I9" s="141">
        <v>220.36062892706158</v>
      </c>
      <c r="J9" s="141">
        <v>233.57759219651987</v>
      </c>
      <c r="K9" s="141">
        <v>205.76771581553311</v>
      </c>
      <c r="L9" s="141">
        <v>175.1783435175297</v>
      </c>
      <c r="M9" s="142">
        <v>662.53400459634611</v>
      </c>
      <c r="N9" s="141">
        <v>197.35661112912075</v>
      </c>
      <c r="O9" s="141">
        <v>251.53771399590988</v>
      </c>
      <c r="P9" s="141">
        <v>118.9873448552048</v>
      </c>
      <c r="Q9" s="141">
        <v>94.652334616110593</v>
      </c>
      <c r="R9" s="142">
        <v>599.3813050822821</v>
      </c>
      <c r="S9" s="141">
        <v>121.98922897362361</v>
      </c>
      <c r="T9" s="141">
        <v>182.56510913547586</v>
      </c>
      <c r="U9" s="141">
        <v>140.4320280412704</v>
      </c>
      <c r="V9" s="141">
        <v>154.39493893191235</v>
      </c>
    </row>
    <row r="10" spans="1:23" x14ac:dyDescent="0.3">
      <c r="A10" s="112" t="s">
        <v>49</v>
      </c>
      <c r="B10" s="141">
        <v>31.87282640487587</v>
      </c>
      <c r="C10" s="142">
        <v>130.38125033204173</v>
      </c>
      <c r="D10" s="141">
        <v>34.675410759195195</v>
      </c>
      <c r="E10" s="141">
        <v>30.703852733891203</v>
      </c>
      <c r="F10" s="141">
        <v>34.830163207555728</v>
      </c>
      <c r="G10" s="141">
        <v>30.17182363139959</v>
      </c>
      <c r="H10" s="142">
        <v>118.06991604021209</v>
      </c>
      <c r="I10" s="141">
        <v>32.259782474505705</v>
      </c>
      <c r="J10" s="141">
        <v>31.17545822378041</v>
      </c>
      <c r="K10" s="141">
        <v>28.100436961592628</v>
      </c>
      <c r="L10" s="141">
        <v>26.534238380333349</v>
      </c>
      <c r="M10" s="142">
        <v>108.53955809578315</v>
      </c>
      <c r="N10" s="141">
        <v>31.293922293244254</v>
      </c>
      <c r="O10" s="141">
        <v>27.553278790991946</v>
      </c>
      <c r="P10" s="141">
        <v>26.451143568531137</v>
      </c>
      <c r="Q10" s="141">
        <v>23.241213443015813</v>
      </c>
      <c r="R10" s="142">
        <v>90.64586237882186</v>
      </c>
      <c r="S10" s="141">
        <v>24.217898560836154</v>
      </c>
      <c r="T10" s="141">
        <v>22.720826703540336</v>
      </c>
      <c r="U10" s="141">
        <v>22.659638645919273</v>
      </c>
      <c r="V10" s="141">
        <v>21.047498468526094</v>
      </c>
    </row>
    <row r="11" spans="1:23" x14ac:dyDescent="0.3">
      <c r="A11" s="112" t="s">
        <v>50</v>
      </c>
      <c r="B11" s="141" t="e">
        <v>#VALUE!</v>
      </c>
      <c r="C11" s="142">
        <v>0</v>
      </c>
      <c r="D11" s="141">
        <v>0</v>
      </c>
      <c r="E11" s="141" t="e">
        <v>#VALUE!</v>
      </c>
      <c r="F11" s="141" t="e">
        <v>#VALUE!</v>
      </c>
      <c r="G11" s="141" t="e">
        <v>#VALUE!</v>
      </c>
      <c r="H11" s="142">
        <v>0</v>
      </c>
      <c r="I11" s="141">
        <v>0</v>
      </c>
      <c r="J11" s="141" t="e">
        <v>#VALUE!</v>
      </c>
      <c r="K11" s="141" t="e">
        <v>#VALUE!</v>
      </c>
      <c r="L11" s="141" t="e">
        <v>#VALUE!</v>
      </c>
      <c r="M11" s="142">
        <v>0</v>
      </c>
      <c r="N11" s="141">
        <v>0</v>
      </c>
      <c r="O11" s="141" t="e">
        <v>#VALUE!</v>
      </c>
      <c r="P11" s="141" t="e">
        <v>#VALUE!</v>
      </c>
      <c r="Q11" s="141" t="e">
        <v>#VALUE!</v>
      </c>
      <c r="R11" s="142">
        <v>0</v>
      </c>
      <c r="S11" s="141">
        <v>0</v>
      </c>
      <c r="T11" s="141" t="e">
        <v>#VALUE!</v>
      </c>
      <c r="U11" s="141" t="e">
        <v>#VALUE!</v>
      </c>
      <c r="V11" s="141" t="e">
        <v>#VALUE!</v>
      </c>
    </row>
    <row r="12" spans="1:23" x14ac:dyDescent="0.3">
      <c r="A12" s="112" t="s">
        <v>52</v>
      </c>
      <c r="B12" s="141">
        <v>225.02014351454955</v>
      </c>
      <c r="C12" s="142">
        <v>845.08879481353188</v>
      </c>
      <c r="D12" s="141">
        <v>215.28907201795974</v>
      </c>
      <c r="E12" s="141">
        <v>209.71125056385304</v>
      </c>
      <c r="F12" s="141">
        <v>215.35109759007904</v>
      </c>
      <c r="G12" s="141">
        <v>204.73737464164006</v>
      </c>
      <c r="H12" s="142">
        <v>772.93729602796975</v>
      </c>
      <c r="I12" s="141">
        <v>202.91500638042558</v>
      </c>
      <c r="J12" s="141">
        <v>202.59280955820597</v>
      </c>
      <c r="K12" s="141">
        <v>189.63262620532831</v>
      </c>
      <c r="L12" s="141">
        <v>177.79685388400998</v>
      </c>
      <c r="M12" s="142">
        <v>689.94418723543185</v>
      </c>
      <c r="N12" s="141">
        <v>185.06257022820333</v>
      </c>
      <c r="O12" s="141">
        <v>175.17316317451832</v>
      </c>
      <c r="P12" s="141">
        <v>178.90902931466044</v>
      </c>
      <c r="Q12" s="141">
        <v>150.79942451804979</v>
      </c>
      <c r="R12" s="142">
        <v>583.83303879810842</v>
      </c>
      <c r="S12" s="141">
        <v>154.9045771724071</v>
      </c>
      <c r="T12" s="141">
        <v>147.64907832268702</v>
      </c>
      <c r="U12" s="141">
        <v>141.00934367556133</v>
      </c>
      <c r="V12" s="141">
        <v>140.27003962745295</v>
      </c>
    </row>
    <row r="13" spans="1:23" x14ac:dyDescent="0.3">
      <c r="A13" s="112" t="s">
        <v>53</v>
      </c>
      <c r="B13" s="141">
        <v>-10.657790532860702</v>
      </c>
      <c r="C13" s="142">
        <v>-18.175084513639433</v>
      </c>
      <c r="D13" s="141">
        <v>2.0101687396634897</v>
      </c>
      <c r="E13" s="141">
        <v>-45.858959532029814</v>
      </c>
      <c r="F13" s="141">
        <v>19.110355034234114</v>
      </c>
      <c r="G13" s="141">
        <v>6.5633512444927682</v>
      </c>
      <c r="H13" s="142">
        <v>-56.122931611537673</v>
      </c>
      <c r="I13" s="141">
        <v>-14.814159927869685</v>
      </c>
      <c r="J13" s="141">
        <v>-0.19067558546654681</v>
      </c>
      <c r="K13" s="141">
        <v>-11.965347351387829</v>
      </c>
      <c r="L13" s="141">
        <v>-29.152748746813614</v>
      </c>
      <c r="M13" s="142">
        <v>-135.94974073486904</v>
      </c>
      <c r="N13" s="141">
        <v>-18.999881392326863</v>
      </c>
      <c r="O13" s="141">
        <v>48.811272030399635</v>
      </c>
      <c r="P13" s="141">
        <v>-86.372828027986799</v>
      </c>
      <c r="Q13" s="141">
        <v>-79.388303344955006</v>
      </c>
      <c r="R13" s="142">
        <v>-75.097596094648111</v>
      </c>
      <c r="S13" s="141">
        <v>-57.133246759619666</v>
      </c>
      <c r="T13" s="141">
        <v>12.195204109248486</v>
      </c>
      <c r="U13" s="141">
        <v>-23.23695428021021</v>
      </c>
      <c r="V13" s="141">
        <v>-6.9225991640667219</v>
      </c>
    </row>
    <row r="14" spans="1:23" x14ac:dyDescent="0.3">
      <c r="A14" s="112" t="s">
        <v>54</v>
      </c>
      <c r="B14" s="141">
        <v>1566.2972165546869</v>
      </c>
      <c r="C14" s="142">
        <v>5654.3867331269475</v>
      </c>
      <c r="D14" s="141">
        <v>1328.4184138436628</v>
      </c>
      <c r="E14" s="141">
        <v>1486.0905898235976</v>
      </c>
      <c r="F14" s="141">
        <v>1668.5643472496099</v>
      </c>
      <c r="G14" s="141">
        <v>1171.3133822100767</v>
      </c>
      <c r="H14" s="142">
        <v>3971.3888509519402</v>
      </c>
      <c r="I14" s="141">
        <v>876.56996596718932</v>
      </c>
      <c r="J14" s="141">
        <v>1034.3210450428796</v>
      </c>
      <c r="K14" s="141">
        <v>839.3917925540045</v>
      </c>
      <c r="L14" s="141">
        <v>1221.1060473878663</v>
      </c>
      <c r="M14" s="142">
        <v>3986.1266658276359</v>
      </c>
      <c r="N14" s="141">
        <v>1305.4095447069094</v>
      </c>
      <c r="O14" s="141">
        <v>678.15783041143504</v>
      </c>
      <c r="P14" s="141">
        <v>788.57466609276935</v>
      </c>
      <c r="Q14" s="141">
        <v>1213.9846246165221</v>
      </c>
      <c r="R14" s="142">
        <v>4502.9384293273542</v>
      </c>
      <c r="S14" s="141">
        <v>1217.1975414072569</v>
      </c>
      <c r="T14" s="141">
        <v>1090.2355438741288</v>
      </c>
      <c r="U14" s="141">
        <v>1238.9965491129253</v>
      </c>
      <c r="V14" s="141">
        <v>956.50879493304319</v>
      </c>
    </row>
    <row r="15" spans="1:23" x14ac:dyDescent="0.3">
      <c r="A15" s="112" t="s">
        <v>55</v>
      </c>
      <c r="B15" s="141">
        <v>57.310760412552831</v>
      </c>
      <c r="C15" s="142">
        <v>198.65101558662101</v>
      </c>
      <c r="D15" s="141">
        <v>63.11929842543357</v>
      </c>
      <c r="E15" s="141">
        <v>23.224709119225398</v>
      </c>
      <c r="F15" s="141">
        <v>78.80452855514821</v>
      </c>
      <c r="G15" s="141">
        <v>33.502479486813833</v>
      </c>
      <c r="H15" s="142">
        <v>220.61763715565857</v>
      </c>
      <c r="I15" s="141">
        <v>78.943878562989781</v>
      </c>
      <c r="J15" s="141">
        <v>49.384976635835621</v>
      </c>
      <c r="K15" s="141">
        <v>47.861389405551314</v>
      </c>
      <c r="L15" s="141">
        <v>44.427392551281827</v>
      </c>
      <c r="M15" s="142">
        <v>141.75771283038017</v>
      </c>
      <c r="N15" s="141">
        <v>-13.318544309327168</v>
      </c>
      <c r="O15" s="141">
        <v>34.395980477496572</v>
      </c>
      <c r="P15" s="141">
        <v>65.913852905401228</v>
      </c>
      <c r="Q15" s="141">
        <v>54.766423756809544</v>
      </c>
      <c r="R15" s="142">
        <v>267.16548618132242</v>
      </c>
      <c r="S15" s="141">
        <v>73.553431851951302</v>
      </c>
      <c r="T15" s="141">
        <v>64.823317080707724</v>
      </c>
      <c r="U15" s="141">
        <v>69.422205023485162</v>
      </c>
      <c r="V15" s="141">
        <v>59.366532225178254</v>
      </c>
    </row>
    <row r="16" spans="1:23" x14ac:dyDescent="0.3">
      <c r="A16" s="112" t="s">
        <v>56</v>
      </c>
      <c r="B16" s="141">
        <v>43.435523681092675</v>
      </c>
      <c r="C16" s="142">
        <v>213.90143998186119</v>
      </c>
      <c r="D16" s="141">
        <v>48.244049751923754</v>
      </c>
      <c r="E16" s="141">
        <v>44.087583412766854</v>
      </c>
      <c r="F16" s="141">
        <v>69.454838726571296</v>
      </c>
      <c r="G16" s="141">
        <v>52.114968090599298</v>
      </c>
      <c r="H16" s="142">
        <v>222.48691716567129</v>
      </c>
      <c r="I16" s="141">
        <v>58.087100769804834</v>
      </c>
      <c r="J16" s="141">
        <v>57.870040189096962</v>
      </c>
      <c r="K16" s="141">
        <v>52.937597372806763</v>
      </c>
      <c r="L16" s="141">
        <v>53.592178833962755</v>
      </c>
      <c r="M16" s="142">
        <v>262.77057603607921</v>
      </c>
      <c r="N16" s="141">
        <v>60.073154402209937</v>
      </c>
      <c r="O16" s="141">
        <v>69.704321179860415</v>
      </c>
      <c r="P16" s="141">
        <v>69.252346753856614</v>
      </c>
      <c r="Q16" s="141">
        <v>63.740753700152275</v>
      </c>
      <c r="R16" s="142">
        <v>253.45441452049374</v>
      </c>
      <c r="S16" s="141">
        <v>65.530784341086076</v>
      </c>
      <c r="T16" s="141">
        <v>63.444097568352255</v>
      </c>
      <c r="U16" s="141">
        <v>63.50471977200305</v>
      </c>
      <c r="V16" s="141">
        <v>60.974812839052333</v>
      </c>
    </row>
    <row r="17" spans="1:22" x14ac:dyDescent="0.3">
      <c r="A17" s="112" t="s">
        <v>57</v>
      </c>
      <c r="B17" s="141">
        <v>92.401033016028165</v>
      </c>
      <c r="C17" s="142">
        <v>345.06252918400804</v>
      </c>
      <c r="D17" s="141">
        <v>87.743865486311321</v>
      </c>
      <c r="E17" s="141">
        <v>81.77853083930637</v>
      </c>
      <c r="F17" s="141">
        <v>96.681957458141397</v>
      </c>
      <c r="G17" s="141">
        <v>78.858175400248925</v>
      </c>
      <c r="H17" s="142">
        <v>302.69792230668673</v>
      </c>
      <c r="I17" s="141">
        <v>78.846416984516964</v>
      </c>
      <c r="J17" s="141">
        <v>77.700301077617837</v>
      </c>
      <c r="K17" s="141">
        <v>73.967601808579303</v>
      </c>
      <c r="L17" s="141">
        <v>72.183602435972645</v>
      </c>
      <c r="M17" s="142">
        <v>294.1402695505347</v>
      </c>
      <c r="N17" s="141">
        <v>77.117165651209035</v>
      </c>
      <c r="O17" s="141">
        <v>76.820730933825217</v>
      </c>
      <c r="P17" s="141">
        <v>72.933250227794602</v>
      </c>
      <c r="Q17" s="141">
        <v>67.269122737705828</v>
      </c>
      <c r="R17" s="142">
        <v>258.65917607633105</v>
      </c>
      <c r="S17" s="141">
        <v>67.030344623490791</v>
      </c>
      <c r="T17" s="141">
        <v>64.532955078106582</v>
      </c>
      <c r="U17" s="141">
        <v>64.442857677725826</v>
      </c>
      <c r="V17" s="141">
        <v>62.653018697007894</v>
      </c>
    </row>
    <row r="18" spans="1:22" x14ac:dyDescent="0.3">
      <c r="A18" s="112" t="s">
        <v>58</v>
      </c>
      <c r="B18" s="141">
        <v>48.96550933493549</v>
      </c>
      <c r="C18" s="142">
        <v>131.16108920214685</v>
      </c>
      <c r="D18" s="141">
        <v>39.499815734387568</v>
      </c>
      <c r="E18" s="141">
        <v>37.690947426539523</v>
      </c>
      <c r="F18" s="141">
        <v>27.227118731570108</v>
      </c>
      <c r="G18" s="141">
        <v>26.743207309649637</v>
      </c>
      <c r="H18" s="142">
        <v>80.21100514101542</v>
      </c>
      <c r="I18" s="141">
        <v>20.759316214712129</v>
      </c>
      <c r="J18" s="141">
        <v>19.830260888520868</v>
      </c>
      <c r="K18" s="141">
        <v>21.030004435772547</v>
      </c>
      <c r="L18" s="141">
        <v>18.591423602009883</v>
      </c>
      <c r="M18" s="142">
        <v>31.369693514455452</v>
      </c>
      <c r="N18" s="141">
        <v>17.044011248999102</v>
      </c>
      <c r="O18" s="141">
        <v>7.116409753964807</v>
      </c>
      <c r="P18" s="141">
        <v>3.6809034739379904</v>
      </c>
      <c r="Q18" s="141">
        <v>3.5283690375535555</v>
      </c>
      <c r="R18" s="142">
        <v>5.2047615558373854</v>
      </c>
      <c r="S18" s="141">
        <v>1.4995602824047156</v>
      </c>
      <c r="T18" s="141">
        <v>1.0888575097543292</v>
      </c>
      <c r="U18" s="141">
        <v>0.93813790572277245</v>
      </c>
      <c r="V18" s="141">
        <v>1.6782058579555688</v>
      </c>
    </row>
    <row r="19" spans="1:22" x14ac:dyDescent="0.3">
      <c r="A19" s="112" t="s">
        <v>59</v>
      </c>
      <c r="B19" s="141">
        <v>13.875236731460157</v>
      </c>
      <c r="C19" s="142">
        <v>-15.25042439524019</v>
      </c>
      <c r="D19" s="141">
        <v>14.875248673509825</v>
      </c>
      <c r="E19" s="141">
        <v>-20.862874293541459</v>
      </c>
      <c r="F19" s="141">
        <v>9.3496898285769063</v>
      </c>
      <c r="G19" s="141">
        <v>-18.612488603785462</v>
      </c>
      <c r="H19" s="142">
        <v>-1.8692800100127491</v>
      </c>
      <c r="I19" s="141">
        <v>20.856777793184953</v>
      </c>
      <c r="J19" s="141">
        <v>-8.4850635532613339</v>
      </c>
      <c r="K19" s="141">
        <v>-5.0762079672554421</v>
      </c>
      <c r="L19" s="141">
        <v>-9.164786282680927</v>
      </c>
      <c r="M19" s="142">
        <v>-121.01286320569906</v>
      </c>
      <c r="N19" s="141">
        <v>-73.391698711537103</v>
      </c>
      <c r="O19" s="141">
        <v>-35.30834070236385</v>
      </c>
      <c r="P19" s="141">
        <v>-3.3384938484553865</v>
      </c>
      <c r="Q19" s="141">
        <v>-8.9743299433427381</v>
      </c>
      <c r="R19" s="142">
        <v>13.711071660828726</v>
      </c>
      <c r="S19" s="141">
        <v>8.0226475108652266</v>
      </c>
      <c r="T19" s="141">
        <v>1.3792195123554836</v>
      </c>
      <c r="U19" s="141">
        <v>5.9174852514821028</v>
      </c>
      <c r="V19" s="141">
        <v>-1.6082806138740868</v>
      </c>
    </row>
    <row r="20" spans="1:22" x14ac:dyDescent="0.3">
      <c r="A20" s="112" t="s">
        <v>60</v>
      </c>
      <c r="B20" s="141">
        <v>1508.9822671431452</v>
      </c>
      <c r="C20" s="142">
        <v>5438.5702552262601</v>
      </c>
      <c r="D20" s="141">
        <v>1265.3007131811835</v>
      </c>
      <c r="E20" s="141">
        <v>1462.8614451579895</v>
      </c>
      <c r="F20" s="141">
        <v>1572.5972803977816</v>
      </c>
      <c r="G20" s="141">
        <v>1137.810816489306</v>
      </c>
      <c r="H20" s="142">
        <v>3750.7574265748854</v>
      </c>
      <c r="I20" s="141">
        <v>797.62555822161528</v>
      </c>
      <c r="J20" s="141">
        <v>984.93473672744744</v>
      </c>
      <c r="K20" s="141">
        <v>791.52585660847376</v>
      </c>
      <c r="L20" s="141">
        <v>1176.6712750173483</v>
      </c>
      <c r="M20" s="142">
        <v>3844.3616854035654</v>
      </c>
      <c r="N20" s="141">
        <v>1318.7221599703732</v>
      </c>
      <c r="O20" s="141">
        <v>643.76137466635487</v>
      </c>
      <c r="P20" s="141">
        <v>722.65551458103528</v>
      </c>
      <c r="Q20" s="141">
        <v>1159.222636185802</v>
      </c>
      <c r="R20" s="142">
        <v>4235.7632537464988</v>
      </c>
      <c r="S20" s="141">
        <v>1143.6396493759564</v>
      </c>
      <c r="T20" s="141">
        <v>1025.413412185977</v>
      </c>
      <c r="U20" s="141">
        <v>1169.5693106191518</v>
      </c>
      <c r="V20" s="141">
        <v>897.14088156541459</v>
      </c>
    </row>
    <row r="21" spans="1:22" x14ac:dyDescent="0.3">
      <c r="A21" s="112" t="s">
        <v>61</v>
      </c>
      <c r="B21" s="141">
        <v>22.421578196489968</v>
      </c>
      <c r="C21" s="142">
        <v>96.358115972114035</v>
      </c>
      <c r="D21" s="141">
        <v>14.473214925577125</v>
      </c>
      <c r="E21" s="141">
        <v>58.84905107329147</v>
      </c>
      <c r="F21" s="141">
        <v>17.158221993102675</v>
      </c>
      <c r="G21" s="141">
        <v>5.8776279801427771</v>
      </c>
      <c r="H21" s="142">
        <v>107.3618270076271</v>
      </c>
      <c r="I21" s="141">
        <v>29.920704591157854</v>
      </c>
      <c r="J21" s="141">
        <v>14.968033459123923</v>
      </c>
      <c r="K21" s="141">
        <v>22.933582423493341</v>
      </c>
      <c r="L21" s="141">
        <v>39.539506533851998</v>
      </c>
      <c r="M21" s="142">
        <v>172.22082467679084</v>
      </c>
      <c r="N21" s="141">
        <v>29.431188823408288</v>
      </c>
      <c r="O21" s="141">
        <v>-40.052613871673721</v>
      </c>
      <c r="P21" s="141">
        <v>96.47391197972361</v>
      </c>
      <c r="Q21" s="141">
        <v>86.368337745332681</v>
      </c>
      <c r="R21" s="142">
        <v>106.78714978790842</v>
      </c>
      <c r="S21" s="141">
        <v>69.579597103578806</v>
      </c>
      <c r="T21" s="141">
        <v>-4.2828395383670284</v>
      </c>
      <c r="U21" s="141">
        <v>30.092577437415084</v>
      </c>
      <c r="V21" s="141">
        <v>11.397814785281573</v>
      </c>
    </row>
    <row r="22" spans="1:22" x14ac:dyDescent="0.3">
      <c r="A22" s="112" t="s">
        <v>62</v>
      </c>
      <c r="B22" s="141">
        <v>22.421578196489968</v>
      </c>
      <c r="C22" s="142">
        <v>96.358115972114035</v>
      </c>
      <c r="D22" s="141">
        <v>14.473214925577125</v>
      </c>
      <c r="E22" s="141">
        <v>58.84905107329147</v>
      </c>
      <c r="F22" s="141">
        <v>17.158221993102675</v>
      </c>
      <c r="G22" s="141">
        <v>5.8776279801427771</v>
      </c>
      <c r="H22" s="142">
        <v>107.3618270076271</v>
      </c>
      <c r="I22" s="141">
        <v>29.920704591157854</v>
      </c>
      <c r="J22" s="141">
        <v>14.968033459123923</v>
      </c>
      <c r="K22" s="141">
        <v>22.933582423493341</v>
      </c>
      <c r="L22" s="141">
        <v>39.539506533851998</v>
      </c>
      <c r="M22" s="142">
        <v>172.22082467679084</v>
      </c>
      <c r="N22" s="141">
        <v>29.431188823408288</v>
      </c>
      <c r="O22" s="141">
        <v>-40.052613871673721</v>
      </c>
      <c r="P22" s="141">
        <v>96.47391197972361</v>
      </c>
      <c r="Q22" s="141">
        <v>86.368337745332681</v>
      </c>
      <c r="R22" s="142">
        <v>106.78714978790842</v>
      </c>
      <c r="S22" s="141">
        <v>69.579597103578806</v>
      </c>
      <c r="T22" s="141">
        <v>-4.2828395383670284</v>
      </c>
      <c r="U22" s="141">
        <v>30.092577437415084</v>
      </c>
      <c r="V22" s="141">
        <v>11.397814785281573</v>
      </c>
    </row>
    <row r="23" spans="1:22" x14ac:dyDescent="0.3">
      <c r="A23" s="112" t="s">
        <v>63</v>
      </c>
      <c r="B23" s="141">
        <v>1486.5606889466553</v>
      </c>
      <c r="C23" s="142">
        <v>5359.3703612472491</v>
      </c>
      <c r="D23" s="141">
        <v>1250.8274982556065</v>
      </c>
      <c r="E23" s="141">
        <v>1404.0123940846981</v>
      </c>
      <c r="F23" s="141">
        <v>1572.5972803977816</v>
      </c>
      <c r="G23" s="141">
        <v>1131.9331885091631</v>
      </c>
      <c r="H23" s="142">
        <v>3643.3955995672586</v>
      </c>
      <c r="I23" s="141">
        <v>767.70485363045748</v>
      </c>
      <c r="J23" s="141">
        <v>969.96670326832373</v>
      </c>
      <c r="K23" s="141">
        <v>768.59227418498028</v>
      </c>
      <c r="L23" s="141">
        <v>1137.1317684834964</v>
      </c>
      <c r="M23" s="142">
        <v>3672.1408607267736</v>
      </c>
      <c r="N23" s="141">
        <v>1289.2909711469647</v>
      </c>
      <c r="O23" s="141">
        <v>683.81398853802864</v>
      </c>
      <c r="P23" s="141">
        <v>626.18160260131162</v>
      </c>
      <c r="Q23" s="141">
        <v>1072.8542984404692</v>
      </c>
      <c r="R23" s="142">
        <v>4128.976103958591</v>
      </c>
      <c r="S23" s="141">
        <v>1074.0600522723776</v>
      </c>
      <c r="T23" s="141">
        <v>1029.6962517243439</v>
      </c>
      <c r="U23" s="141">
        <v>1139.4767331817368</v>
      </c>
      <c r="V23" s="141">
        <v>885.74306678013306</v>
      </c>
    </row>
    <row r="24" spans="1:22" x14ac:dyDescent="0.3">
      <c r="A24" s="112" t="s">
        <v>64</v>
      </c>
      <c r="B24" s="141">
        <v>535.70479206680955</v>
      </c>
      <c r="C24" s="142">
        <v>1976.345769767476</v>
      </c>
      <c r="D24" s="141">
        <v>448.87067956685729</v>
      </c>
      <c r="E24" s="141">
        <v>518.0291051000105</v>
      </c>
      <c r="F24" s="141">
        <v>594.68137063519919</v>
      </c>
      <c r="G24" s="141">
        <v>414.76461446540861</v>
      </c>
      <c r="H24" s="142">
        <v>1402.97358539729</v>
      </c>
      <c r="I24" s="141">
        <v>339.75106255627458</v>
      </c>
      <c r="J24" s="141">
        <v>376.87029467462975</v>
      </c>
      <c r="K24" s="141">
        <v>266.95415113512996</v>
      </c>
      <c r="L24" s="141">
        <v>419.39807703125581</v>
      </c>
      <c r="M24" s="142">
        <v>1374.2885093166208</v>
      </c>
      <c r="N24" s="141">
        <v>442.58547243302576</v>
      </c>
      <c r="O24" s="141">
        <v>208.47431138217414</v>
      </c>
      <c r="P24" s="141">
        <v>253.72553248260937</v>
      </c>
      <c r="Q24" s="141">
        <v>469.5031930188112</v>
      </c>
      <c r="R24" s="142">
        <v>1666.9303667656882</v>
      </c>
      <c r="S24" s="141">
        <v>446.41909607188381</v>
      </c>
      <c r="T24" s="141">
        <v>398.23148656748333</v>
      </c>
      <c r="U24" s="141">
        <v>467.40917041279977</v>
      </c>
      <c r="V24" s="141">
        <v>354.87061371352132</v>
      </c>
    </row>
    <row r="25" spans="1:22" x14ac:dyDescent="0.3">
      <c r="A25" s="112" t="s">
        <v>65</v>
      </c>
      <c r="B25" s="141">
        <v>-3.418536586011923</v>
      </c>
      <c r="C25" s="142">
        <v>-7.4016336231978066</v>
      </c>
      <c r="D25" s="141">
        <v>1.708643428713966</v>
      </c>
      <c r="E25" s="141">
        <v>-0.49204892201748723</v>
      </c>
      <c r="F25" s="141">
        <v>-2.0548768854015176</v>
      </c>
      <c r="G25" s="141">
        <v>-6.5633512444927682</v>
      </c>
      <c r="H25" s="142">
        <v>1.2316750769917215</v>
      </c>
      <c r="I25" s="141">
        <v>-7.8943878562989775</v>
      </c>
      <c r="J25" s="141">
        <v>9.5337792733273405E-2</v>
      </c>
      <c r="K25" s="141">
        <v>3.4445696920661932</v>
      </c>
      <c r="L25" s="141">
        <v>5.5861554484912324</v>
      </c>
      <c r="M25" s="142">
        <v>3.6666805227414199</v>
      </c>
      <c r="N25" s="141">
        <v>3.7254669396719344</v>
      </c>
      <c r="O25" s="141">
        <v>9.1236022486728297E-2</v>
      </c>
      <c r="P25" s="141">
        <v>0.77042165733585843</v>
      </c>
      <c r="Q25" s="141">
        <v>-0.92044409675310135</v>
      </c>
      <c r="R25" s="142">
        <v>-9.6233118606539048</v>
      </c>
      <c r="S25" s="141">
        <v>0.52484609884165045</v>
      </c>
      <c r="T25" s="141">
        <v>-0.94367650845375195</v>
      </c>
      <c r="U25" s="141">
        <v>-3.6803871686047223</v>
      </c>
      <c r="V25" s="141">
        <v>-5.5240942824370807</v>
      </c>
    </row>
    <row r="26" spans="1:22" x14ac:dyDescent="0.3">
      <c r="A26" s="112" t="s">
        <v>66</v>
      </c>
      <c r="B26" s="141">
        <v>954.27443346585767</v>
      </c>
      <c r="C26" s="142">
        <v>3390.4262251029713</v>
      </c>
      <c r="D26" s="141">
        <v>800.24817526003528</v>
      </c>
      <c r="E26" s="141">
        <v>886.47533790670502</v>
      </c>
      <c r="F26" s="141">
        <v>979.9707866479838</v>
      </c>
      <c r="G26" s="141">
        <v>723.73192528824723</v>
      </c>
      <c r="H26" s="142">
        <v>2239.190339092976</v>
      </c>
      <c r="I26" s="141">
        <v>435.84817893048182</v>
      </c>
      <c r="J26" s="141">
        <v>593.00107080096063</v>
      </c>
      <c r="K26" s="141">
        <v>498.1935533577842</v>
      </c>
      <c r="L26" s="141">
        <v>712.14753600374934</v>
      </c>
      <c r="M26" s="142">
        <v>2294.185670887412</v>
      </c>
      <c r="N26" s="141">
        <v>842.98003177426699</v>
      </c>
      <c r="O26" s="141">
        <v>475.24844113336763</v>
      </c>
      <c r="P26" s="141">
        <v>371.68564846136633</v>
      </c>
      <c r="Q26" s="141">
        <v>604.27154951841112</v>
      </c>
      <c r="R26" s="142">
        <v>2471.6690490535566</v>
      </c>
      <c r="S26" s="141">
        <v>627.116110101652</v>
      </c>
      <c r="T26" s="141">
        <v>632.4084416653144</v>
      </c>
      <c r="U26" s="141">
        <v>675.74794993754153</v>
      </c>
      <c r="V26" s="141">
        <v>536.39654734904877</v>
      </c>
    </row>
    <row r="27" spans="1:22" x14ac:dyDescent="0.3">
      <c r="A27" s="112" t="s">
        <v>67</v>
      </c>
      <c r="B27" s="141">
        <v>0</v>
      </c>
      <c r="C27" s="142">
        <v>0</v>
      </c>
      <c r="D27" s="141">
        <v>0</v>
      </c>
      <c r="E27" s="141">
        <v>0</v>
      </c>
      <c r="F27" s="141">
        <v>0</v>
      </c>
      <c r="G27" s="141">
        <v>0</v>
      </c>
      <c r="H27" s="142">
        <v>0</v>
      </c>
      <c r="I27" s="141">
        <v>0</v>
      </c>
      <c r="J27" s="141">
        <v>0</v>
      </c>
      <c r="K27" s="141">
        <v>0</v>
      </c>
      <c r="L27" s="141">
        <v>0</v>
      </c>
      <c r="M27" s="142">
        <v>0</v>
      </c>
      <c r="N27" s="141">
        <v>0</v>
      </c>
      <c r="O27" s="141">
        <v>0</v>
      </c>
      <c r="P27" s="141">
        <v>0</v>
      </c>
      <c r="Q27" s="141">
        <v>0</v>
      </c>
      <c r="R27" s="142">
        <v>0</v>
      </c>
      <c r="S27" s="141">
        <v>0</v>
      </c>
      <c r="T27" s="141">
        <v>0</v>
      </c>
      <c r="U27" s="141">
        <v>0</v>
      </c>
      <c r="V27" s="141">
        <v>0</v>
      </c>
    </row>
    <row r="28" spans="1:22" x14ac:dyDescent="0.3">
      <c r="A28" s="112" t="s">
        <v>68</v>
      </c>
      <c r="B28" s="141">
        <v>0</v>
      </c>
      <c r="C28" s="142">
        <v>0</v>
      </c>
      <c r="D28" s="141">
        <v>0</v>
      </c>
      <c r="E28" s="141">
        <v>0</v>
      </c>
      <c r="F28" s="141">
        <v>0</v>
      </c>
      <c r="G28" s="141">
        <v>0</v>
      </c>
      <c r="H28" s="142">
        <v>0</v>
      </c>
      <c r="I28" s="141">
        <v>0</v>
      </c>
      <c r="J28" s="141">
        <v>0</v>
      </c>
      <c r="K28" s="141">
        <v>0</v>
      </c>
      <c r="L28" s="141">
        <v>0</v>
      </c>
      <c r="M28" s="142">
        <v>0</v>
      </c>
      <c r="N28" s="141">
        <v>0</v>
      </c>
      <c r="O28" s="141">
        <v>0</v>
      </c>
      <c r="P28" s="141">
        <v>0</v>
      </c>
      <c r="Q28" s="141">
        <v>0</v>
      </c>
      <c r="R28" s="142">
        <v>0</v>
      </c>
      <c r="S28" s="141">
        <v>0</v>
      </c>
      <c r="T28" s="141">
        <v>0</v>
      </c>
      <c r="U28" s="141">
        <v>0</v>
      </c>
      <c r="V28" s="141">
        <v>0</v>
      </c>
    </row>
    <row r="29" spans="1:22" x14ac:dyDescent="0.3">
      <c r="A29" s="112" t="s">
        <v>69</v>
      </c>
      <c r="B29" s="141">
        <v>0</v>
      </c>
      <c r="C29" s="142">
        <v>0</v>
      </c>
      <c r="D29" s="141">
        <v>0</v>
      </c>
      <c r="E29" s="141">
        <v>0</v>
      </c>
      <c r="F29" s="141">
        <v>0</v>
      </c>
      <c r="G29" s="141">
        <v>0</v>
      </c>
      <c r="H29" s="142">
        <v>0</v>
      </c>
      <c r="I29" s="141">
        <v>0</v>
      </c>
      <c r="J29" s="141">
        <v>0</v>
      </c>
      <c r="K29" s="141">
        <v>0</v>
      </c>
      <c r="L29" s="141">
        <v>0</v>
      </c>
      <c r="M29" s="142">
        <v>0</v>
      </c>
      <c r="N29" s="141">
        <v>0</v>
      </c>
      <c r="O29" s="141">
        <v>0</v>
      </c>
      <c r="P29" s="141">
        <v>0</v>
      </c>
      <c r="Q29" s="141">
        <v>0</v>
      </c>
      <c r="R29" s="142">
        <v>0</v>
      </c>
      <c r="S29" s="141">
        <v>0</v>
      </c>
      <c r="T29" s="141">
        <v>0</v>
      </c>
      <c r="U29" s="141">
        <v>0</v>
      </c>
      <c r="V29" s="141">
        <v>0</v>
      </c>
    </row>
    <row r="30" spans="1:22" x14ac:dyDescent="0.3">
      <c r="A30" s="112" t="s">
        <v>70</v>
      </c>
      <c r="B30" s="141">
        <v>954.27443346585767</v>
      </c>
      <c r="C30" s="142">
        <v>3390.4262251029713</v>
      </c>
      <c r="D30" s="141">
        <v>800.24817526003528</v>
      </c>
      <c r="E30" s="141">
        <v>886.47533790670502</v>
      </c>
      <c r="F30" s="141">
        <v>979.9707866479838</v>
      </c>
      <c r="G30" s="141">
        <v>723.73192528824723</v>
      </c>
      <c r="H30" s="142">
        <v>2239.190339092976</v>
      </c>
      <c r="I30" s="141">
        <v>435.84817893048182</v>
      </c>
      <c r="J30" s="141">
        <v>593.00107080096063</v>
      </c>
      <c r="K30" s="141">
        <v>498.1935533577842</v>
      </c>
      <c r="L30" s="141">
        <v>712.14753600374934</v>
      </c>
      <c r="M30" s="142">
        <v>2294.185670887412</v>
      </c>
      <c r="N30" s="141">
        <v>842.98003177426699</v>
      </c>
      <c r="O30" s="141">
        <v>475.24844113336763</v>
      </c>
      <c r="P30" s="141">
        <v>371.68564846136633</v>
      </c>
      <c r="Q30" s="141">
        <v>604.27154951841112</v>
      </c>
      <c r="R30" s="142">
        <v>2471.6690490535566</v>
      </c>
      <c r="S30" s="141">
        <v>627.116110101652</v>
      </c>
      <c r="T30" s="141">
        <v>632.4084416653144</v>
      </c>
      <c r="U30" s="141">
        <v>675.74794993754153</v>
      </c>
      <c r="V30" s="141">
        <v>536.39654734904877</v>
      </c>
    </row>
    <row r="31" spans="1:22" x14ac:dyDescent="0.3">
      <c r="A31" s="112" t="s">
        <v>71</v>
      </c>
      <c r="B31" s="141">
        <v>3.2174461985994571</v>
      </c>
      <c r="C31" s="142">
        <v>12.788166662279101</v>
      </c>
      <c r="D31" s="141">
        <v>2.311694050613013</v>
      </c>
      <c r="E31" s="141">
        <v>4.0348011605433953</v>
      </c>
      <c r="F31" s="141">
        <v>3.6987783937227316</v>
      </c>
      <c r="G31" s="141">
        <v>2.7428930573999626</v>
      </c>
      <c r="H31" s="142">
        <v>8.7878368622870582</v>
      </c>
      <c r="I31" s="141">
        <v>2.1441547264021916</v>
      </c>
      <c r="J31" s="141">
        <v>2.3834448183318351</v>
      </c>
      <c r="K31" s="141">
        <v>1.903577987720791</v>
      </c>
      <c r="L31" s="141">
        <v>2.3566593298322389</v>
      </c>
      <c r="M31" s="142">
        <v>8.2524342491809399</v>
      </c>
      <c r="N31" s="141">
        <v>2.5146901842785558</v>
      </c>
      <c r="O31" s="141">
        <v>1.7334844272478376</v>
      </c>
      <c r="P31" s="141">
        <v>1.6264457210423677</v>
      </c>
      <c r="Q31" s="141">
        <v>2.3778139166121788</v>
      </c>
      <c r="R31" s="142">
        <v>10.140128366782896</v>
      </c>
      <c r="S31" s="141">
        <v>2.5492524800880161</v>
      </c>
      <c r="T31" s="141">
        <v>2.6132580234103902</v>
      </c>
      <c r="U31" s="141">
        <v>2.6700848085955831</v>
      </c>
      <c r="V31" s="141">
        <v>2.307533054688907</v>
      </c>
    </row>
    <row r="32" spans="1:22" x14ac:dyDescent="0.3">
      <c r="A32" s="112" t="s">
        <v>72</v>
      </c>
      <c r="B32" s="141">
        <v>951.05953083777013</v>
      </c>
      <c r="C32" s="142">
        <v>3377.6423110974615</v>
      </c>
      <c r="D32" s="141">
        <v>797.93552148784431</v>
      </c>
      <c r="E32" s="141">
        <v>882.44317058129934</v>
      </c>
      <c r="F32" s="141">
        <v>976.27453371710556</v>
      </c>
      <c r="G32" s="141">
        <v>720.98908531121219</v>
      </c>
      <c r="H32" s="142">
        <v>2230.4105023116194</v>
      </c>
      <c r="I32" s="141">
        <v>433.7042860300192</v>
      </c>
      <c r="J32" s="141">
        <v>590.61838639880534</v>
      </c>
      <c r="K32" s="141">
        <v>496.29266352410093</v>
      </c>
      <c r="L32" s="141">
        <v>709.7951663586939</v>
      </c>
      <c r="M32" s="142">
        <v>2285.9376733173472</v>
      </c>
      <c r="N32" s="141">
        <v>840.46915892088691</v>
      </c>
      <c r="O32" s="141">
        <v>473.51528855581165</v>
      </c>
      <c r="P32" s="141">
        <v>370.06168926607046</v>
      </c>
      <c r="Q32" s="141">
        <v>601.89153657457825</v>
      </c>
      <c r="R32" s="142">
        <v>2461.5340301426454</v>
      </c>
      <c r="S32" s="141">
        <v>624.56914623151715</v>
      </c>
      <c r="T32" s="141">
        <v>629.79449887821704</v>
      </c>
      <c r="U32" s="141">
        <v>673.08059954430973</v>
      </c>
      <c r="V32" s="141">
        <v>534.08978548860182</v>
      </c>
    </row>
    <row r="33" spans="1:22" x14ac:dyDescent="0.3">
      <c r="A33" s="112" t="s">
        <v>73</v>
      </c>
      <c r="B33" s="141">
        <v>0</v>
      </c>
      <c r="C33" s="142">
        <v>0</v>
      </c>
      <c r="D33" s="141">
        <v>0</v>
      </c>
      <c r="E33" s="141">
        <v>0</v>
      </c>
      <c r="F33" s="141">
        <v>0</v>
      </c>
      <c r="G33" s="141">
        <v>0</v>
      </c>
      <c r="H33" s="142">
        <v>0</v>
      </c>
      <c r="I33" s="141">
        <v>0</v>
      </c>
      <c r="J33" s="141">
        <v>0</v>
      </c>
      <c r="K33" s="141">
        <v>0</v>
      </c>
      <c r="L33" s="141">
        <v>0</v>
      </c>
      <c r="M33" s="142">
        <v>0</v>
      </c>
      <c r="N33" s="141">
        <v>0</v>
      </c>
      <c r="O33" s="141">
        <v>0</v>
      </c>
      <c r="P33" s="141">
        <v>0</v>
      </c>
      <c r="Q33" s="141">
        <v>0</v>
      </c>
      <c r="R33" s="142">
        <v>0</v>
      </c>
      <c r="S33" s="141">
        <v>0</v>
      </c>
      <c r="T33" s="141">
        <v>0</v>
      </c>
      <c r="U33" s="141">
        <v>0</v>
      </c>
      <c r="V33" s="141">
        <v>0</v>
      </c>
    </row>
    <row r="34" spans="1:22" x14ac:dyDescent="0.3">
      <c r="A34" s="112" t="s">
        <v>74</v>
      </c>
      <c r="B34" s="141">
        <v>0</v>
      </c>
      <c r="C34" s="142">
        <v>0</v>
      </c>
      <c r="D34" s="141">
        <v>0</v>
      </c>
      <c r="E34" s="141">
        <v>0</v>
      </c>
      <c r="F34" s="141">
        <v>0</v>
      </c>
      <c r="G34" s="141">
        <v>0</v>
      </c>
      <c r="H34" s="142">
        <v>0</v>
      </c>
      <c r="I34" s="141">
        <v>0</v>
      </c>
      <c r="J34" s="141">
        <v>0</v>
      </c>
      <c r="K34" s="141">
        <v>0</v>
      </c>
      <c r="L34" s="141">
        <v>0</v>
      </c>
      <c r="M34" s="142">
        <v>0</v>
      </c>
      <c r="N34" s="141">
        <v>0</v>
      </c>
      <c r="O34" s="141">
        <v>0</v>
      </c>
      <c r="P34" s="141">
        <v>0</v>
      </c>
      <c r="Q34" s="141">
        <v>0</v>
      </c>
      <c r="R34" s="142">
        <v>0</v>
      </c>
      <c r="S34" s="141">
        <v>0</v>
      </c>
      <c r="T34" s="141">
        <v>0</v>
      </c>
      <c r="U34" s="141">
        <v>0</v>
      </c>
      <c r="V34" s="141">
        <v>0</v>
      </c>
    </row>
    <row r="35" spans="1:22" x14ac:dyDescent="0.3">
      <c r="A35" s="112" t="s">
        <v>75</v>
      </c>
      <c r="B35" s="141">
        <v>951.05698726725814</v>
      </c>
      <c r="C35" s="142">
        <v>3377.638058440692</v>
      </c>
      <c r="D35" s="141">
        <v>797.93648120942214</v>
      </c>
      <c r="E35" s="141">
        <v>882.44053674616157</v>
      </c>
      <c r="F35" s="141">
        <v>976.27200825426121</v>
      </c>
      <c r="G35" s="141">
        <v>720.98903223084733</v>
      </c>
      <c r="H35" s="142">
        <v>2230.4025022306887</v>
      </c>
      <c r="I35" s="141">
        <v>433.70402420407964</v>
      </c>
      <c r="J35" s="141">
        <v>590.61762598262874</v>
      </c>
      <c r="K35" s="141">
        <v>496.28997537006336</v>
      </c>
      <c r="L35" s="141">
        <v>709.79087667391718</v>
      </c>
      <c r="M35" s="142">
        <v>2285.9332366382314</v>
      </c>
      <c r="N35" s="141">
        <v>840.46534158998838</v>
      </c>
      <c r="O35" s="141">
        <v>473.51495670611979</v>
      </c>
      <c r="P35" s="141">
        <v>370.059202740324</v>
      </c>
      <c r="Q35" s="141">
        <v>601.89373560179888</v>
      </c>
      <c r="R35" s="142">
        <v>2461.5289206867737</v>
      </c>
      <c r="S35" s="141">
        <v>624.56685762156394</v>
      </c>
      <c r="T35" s="141">
        <v>629.79518364190403</v>
      </c>
      <c r="U35" s="141">
        <v>673.07786512894609</v>
      </c>
      <c r="V35" s="141">
        <v>534.0890142943598</v>
      </c>
    </row>
    <row r="36" spans="1:22" x14ac:dyDescent="0.3">
      <c r="B36" s="141">
        <v>0</v>
      </c>
      <c r="C36" s="142">
        <v>0</v>
      </c>
      <c r="D36" s="141">
        <v>0</v>
      </c>
      <c r="E36" s="141">
        <v>0</v>
      </c>
      <c r="F36" s="141">
        <v>0</v>
      </c>
      <c r="G36" s="141">
        <v>0</v>
      </c>
      <c r="H36" s="142">
        <v>0</v>
      </c>
      <c r="I36" s="141">
        <v>0</v>
      </c>
      <c r="J36" s="141">
        <v>0</v>
      </c>
      <c r="K36" s="141">
        <v>0</v>
      </c>
      <c r="L36" s="141">
        <v>0</v>
      </c>
      <c r="M36" s="142">
        <v>0</v>
      </c>
      <c r="N36" s="141">
        <v>0</v>
      </c>
      <c r="O36" s="141">
        <v>0</v>
      </c>
      <c r="P36" s="141">
        <v>0</v>
      </c>
      <c r="Q36" s="141">
        <v>0</v>
      </c>
      <c r="R36" s="142">
        <v>0</v>
      </c>
      <c r="S36" s="141">
        <v>0</v>
      </c>
      <c r="T36" s="141">
        <v>0</v>
      </c>
      <c r="U36" s="141">
        <v>0</v>
      </c>
      <c r="V36" s="141">
        <v>0</v>
      </c>
    </row>
    <row r="37" spans="1:22" x14ac:dyDescent="0.3">
      <c r="A37" s="113" t="s">
        <v>76</v>
      </c>
      <c r="B37" s="141">
        <v>968.77003404248535</v>
      </c>
      <c r="C37" s="142">
        <v>3440.2059746841114</v>
      </c>
      <c r="D37" s="141">
        <v>809.37032100062811</v>
      </c>
      <c r="E37" s="141">
        <v>928.93128709406199</v>
      </c>
      <c r="F37" s="141">
        <v>976.27200825426121</v>
      </c>
      <c r="G37" s="141">
        <v>725.63235833516012</v>
      </c>
      <c r="H37" s="142">
        <v>2315.2183455667141</v>
      </c>
      <c r="I37" s="141">
        <v>457.34138083109434</v>
      </c>
      <c r="J37" s="141">
        <v>602.44237241533676</v>
      </c>
      <c r="K37" s="141">
        <v>514.40750548462313</v>
      </c>
      <c r="L37" s="141">
        <v>741.02708683566016</v>
      </c>
      <c r="M37" s="142">
        <v>2421.9876881328964</v>
      </c>
      <c r="N37" s="141">
        <v>863.7159807604811</v>
      </c>
      <c r="O37" s="141">
        <v>441.87339174749764</v>
      </c>
      <c r="P37" s="141">
        <v>446.27359320430554</v>
      </c>
      <c r="Q37" s="141">
        <v>670.12472242061176</v>
      </c>
      <c r="R37" s="142">
        <v>2545.8907690192214</v>
      </c>
      <c r="S37" s="141">
        <v>679.53473933339126</v>
      </c>
      <c r="T37" s="141">
        <v>626.41174040659405</v>
      </c>
      <c r="U37" s="141">
        <v>696.85100130450394</v>
      </c>
      <c r="V37" s="141">
        <v>543.09328797473233</v>
      </c>
    </row>
    <row r="38" spans="1:22" x14ac:dyDescent="0.3">
      <c r="A38" s="113" t="s">
        <v>77</v>
      </c>
      <c r="B38" s="141">
        <v>17.713046775227074</v>
      </c>
      <c r="C38" s="142">
        <v>76.122911617970104</v>
      </c>
      <c r="D38" s="141">
        <v>11.433839791205928</v>
      </c>
      <c r="E38" s="141">
        <v>46.49075034790026</v>
      </c>
      <c r="F38" s="141">
        <v>13.554995374551112</v>
      </c>
      <c r="G38" s="141">
        <v>4.643326104312794</v>
      </c>
      <c r="H38" s="142">
        <v>84.815843336025424</v>
      </c>
      <c r="I38" s="141">
        <v>23.637356627014707</v>
      </c>
      <c r="J38" s="141">
        <v>11.824746432707901</v>
      </c>
      <c r="K38" s="141">
        <v>18.117530114559734</v>
      </c>
      <c r="L38" s="141">
        <v>31.236210161743081</v>
      </c>
      <c r="M38" s="142">
        <v>136.05445149466476</v>
      </c>
      <c r="N38" s="141">
        <v>23.250639170492541</v>
      </c>
      <c r="O38" s="141">
        <v>-31.641564958622237</v>
      </c>
      <c r="P38" s="141">
        <v>76.214390463981644</v>
      </c>
      <c r="Q38" s="141">
        <v>68.230986818812809</v>
      </c>
      <c r="R38" s="142">
        <v>84.361848332447664</v>
      </c>
      <c r="S38" s="141">
        <v>54.96788171182726</v>
      </c>
      <c r="T38" s="141">
        <v>-3.3834432353099517</v>
      </c>
      <c r="U38" s="141">
        <v>23.773136175557916</v>
      </c>
      <c r="V38" s="141">
        <v>9.0042736803724424</v>
      </c>
    </row>
    <row r="39" spans="1:22" x14ac:dyDescent="0.3">
      <c r="A39" s="113" t="s">
        <v>78</v>
      </c>
      <c r="B39" s="141">
        <v>0</v>
      </c>
      <c r="C39" s="142">
        <v>0</v>
      </c>
      <c r="D39" s="141">
        <v>0</v>
      </c>
      <c r="E39" s="141">
        <v>0</v>
      </c>
      <c r="F39" s="141">
        <v>0</v>
      </c>
      <c r="G39" s="141">
        <v>0</v>
      </c>
      <c r="H39" s="142">
        <v>0</v>
      </c>
      <c r="I39" s="141">
        <v>0</v>
      </c>
      <c r="J39" s="141">
        <v>0</v>
      </c>
      <c r="K39" s="141">
        <v>0</v>
      </c>
      <c r="L39" s="141">
        <v>0</v>
      </c>
      <c r="M39" s="142">
        <v>0</v>
      </c>
      <c r="N39" s="141">
        <v>0</v>
      </c>
      <c r="O39" s="141">
        <v>0</v>
      </c>
      <c r="P39" s="141">
        <v>0</v>
      </c>
      <c r="Q39" s="141">
        <v>0</v>
      </c>
      <c r="R39" s="142">
        <v>0</v>
      </c>
      <c r="S39" s="141">
        <v>0</v>
      </c>
      <c r="T39" s="141">
        <v>0</v>
      </c>
      <c r="U39" s="141">
        <v>0</v>
      </c>
      <c r="V39" s="141">
        <v>0</v>
      </c>
    </row>
    <row r="40" spans="1:22" x14ac:dyDescent="0.3">
      <c r="B40" s="141">
        <v>0</v>
      </c>
      <c r="C40" s="142">
        <v>0</v>
      </c>
      <c r="D40" s="141">
        <v>0</v>
      </c>
      <c r="E40" s="141">
        <v>0</v>
      </c>
      <c r="F40" s="141">
        <v>0</v>
      </c>
      <c r="G40" s="141">
        <v>0</v>
      </c>
      <c r="H40" s="142">
        <v>0</v>
      </c>
      <c r="I40" s="141">
        <v>0</v>
      </c>
      <c r="J40" s="141">
        <v>0</v>
      </c>
      <c r="K40" s="141">
        <v>0</v>
      </c>
      <c r="L40" s="141">
        <v>0</v>
      </c>
      <c r="M40" s="142">
        <v>0</v>
      </c>
      <c r="N40" s="141">
        <v>0</v>
      </c>
      <c r="O40" s="141">
        <v>0</v>
      </c>
      <c r="P40" s="141">
        <v>0</v>
      </c>
      <c r="Q40" s="141">
        <v>0</v>
      </c>
      <c r="R40" s="142">
        <v>0</v>
      </c>
      <c r="S40" s="141">
        <v>0</v>
      </c>
      <c r="T40" s="141">
        <v>0</v>
      </c>
      <c r="U40" s="141">
        <v>0</v>
      </c>
      <c r="V40" s="141">
        <v>0</v>
      </c>
    </row>
    <row r="41" spans="1:22" x14ac:dyDescent="0.3">
      <c r="A41" s="113" t="s">
        <v>79</v>
      </c>
      <c r="B41" s="141">
        <v>5.2773471773500873</v>
      </c>
      <c r="C41" s="142">
        <v>21.14908716824241</v>
      </c>
      <c r="D41" s="141">
        <v>5.2836747332635134</v>
      </c>
      <c r="E41" s="141">
        <v>5.2840368162419331</v>
      </c>
      <c r="F41" s="141">
        <v>5.2796918787776033</v>
      </c>
      <c r="G41" s="141">
        <v>5.3016837399593619</v>
      </c>
      <c r="H41" s="142">
        <v>21.206734959837448</v>
      </c>
      <c r="I41" s="141">
        <v>5.3016837399593619</v>
      </c>
      <c r="J41" s="141">
        <v>5.3016837399593619</v>
      </c>
      <c r="K41" s="141">
        <v>5.3016837399593619</v>
      </c>
      <c r="L41" s="141">
        <v>5.3016837399593619</v>
      </c>
      <c r="M41" s="142">
        <v>21.206734959837448</v>
      </c>
      <c r="N41" s="141">
        <v>5.3016837399593619</v>
      </c>
      <c r="O41" s="141">
        <v>5.3016837399593619</v>
      </c>
      <c r="P41" s="141">
        <v>5.3016837399593619</v>
      </c>
      <c r="Q41" s="141">
        <v>5.3016837399593619</v>
      </c>
      <c r="R41" s="142">
        <v>21.206734959837448</v>
      </c>
      <c r="S41" s="141">
        <v>5.3016837399593619</v>
      </c>
      <c r="T41" s="141">
        <v>5.3016837399593619</v>
      </c>
      <c r="U41" s="141">
        <v>5.3016837399593619</v>
      </c>
      <c r="V41" s="141">
        <v>5.3016837399593619</v>
      </c>
    </row>
    <row r="42" spans="1:22" x14ac:dyDescent="0.3">
      <c r="A42" s="113" t="s">
        <v>80</v>
      </c>
      <c r="B42" s="141">
        <v>1.1883079921376376</v>
      </c>
      <c r="C42" s="142">
        <v>4.2161386839250348</v>
      </c>
      <c r="D42" s="141">
        <v>0.9978992286205367</v>
      </c>
      <c r="E42" s="141">
        <v>1.1056421875971465</v>
      </c>
      <c r="F42" s="141">
        <v>1.2177800586642562</v>
      </c>
      <c r="G42" s="141">
        <v>0.89481720904309525</v>
      </c>
      <c r="H42" s="142">
        <v>2.7769266134830439</v>
      </c>
      <c r="I42" s="141">
        <v>0.54352723815499304</v>
      </c>
      <c r="J42" s="141">
        <v>0.73335618401993818</v>
      </c>
      <c r="K42" s="141">
        <v>0.61882750247463902</v>
      </c>
      <c r="L42" s="141">
        <v>0.88121568883347379</v>
      </c>
      <c r="M42" s="142">
        <v>2.848735694162817</v>
      </c>
      <c r="N42" s="141">
        <v>1.0477712143592741</v>
      </c>
      <c r="O42" s="141">
        <v>0.58776135076036373</v>
      </c>
      <c r="P42" s="141">
        <v>0.46092883625043846</v>
      </c>
      <c r="Q42" s="141">
        <v>0.75227429279274083</v>
      </c>
      <c r="R42" s="142">
        <v>3.0655540242224322</v>
      </c>
      <c r="S42" s="141">
        <v>0.77860567991643348</v>
      </c>
      <c r="T42" s="141">
        <v>0.7817316453161246</v>
      </c>
      <c r="U42" s="141">
        <v>0.83959255864204319</v>
      </c>
      <c r="V42" s="141">
        <v>0.66562414034783113</v>
      </c>
    </row>
    <row r="43" spans="1:22" x14ac:dyDescent="0.3">
      <c r="A43" s="113" t="s">
        <v>81</v>
      </c>
      <c r="B43" s="141">
        <v>1.1883079921376376</v>
      </c>
      <c r="C43" s="142">
        <v>4.2161386839250348</v>
      </c>
      <c r="D43" s="141">
        <v>0.9978992286205367</v>
      </c>
      <c r="E43" s="141">
        <v>1.1056421875971465</v>
      </c>
      <c r="F43" s="141">
        <v>1.2177800586642562</v>
      </c>
      <c r="G43" s="141">
        <v>0.89481720904309525</v>
      </c>
      <c r="H43" s="142">
        <v>2.7769266134830439</v>
      </c>
      <c r="I43" s="141">
        <v>0.54352723815499304</v>
      </c>
      <c r="J43" s="141">
        <v>0.73335618401993818</v>
      </c>
      <c r="K43" s="141">
        <v>0.61882750247463902</v>
      </c>
      <c r="L43" s="141">
        <v>0.88121568883347379</v>
      </c>
      <c r="M43" s="142">
        <v>2.848735694162817</v>
      </c>
      <c r="N43" s="141">
        <v>1.0477712143592741</v>
      </c>
      <c r="O43" s="141">
        <v>0.58776135076036373</v>
      </c>
      <c r="P43" s="141">
        <v>0.46092883625043846</v>
      </c>
      <c r="Q43" s="141">
        <v>0.75227429279274083</v>
      </c>
      <c r="R43" s="142">
        <v>3.0655540242224322</v>
      </c>
      <c r="S43" s="141">
        <v>0.77860567991643348</v>
      </c>
      <c r="T43" s="141">
        <v>0.7817316453161246</v>
      </c>
      <c r="U43" s="141">
        <v>0.83959255864204319</v>
      </c>
      <c r="V43" s="141">
        <v>0.66562414034783113</v>
      </c>
    </row>
    <row r="44" spans="1:22" x14ac:dyDescent="0.3">
      <c r="A44" s="113" t="s">
        <v>82</v>
      </c>
      <c r="B44" s="141">
        <v>1.2104423227024399</v>
      </c>
      <c r="C44" s="142">
        <v>4.3079506662248876</v>
      </c>
      <c r="D44" s="141">
        <v>1.0100634921786376</v>
      </c>
      <c r="E44" s="141">
        <v>1.1591962250306045</v>
      </c>
      <c r="F44" s="141">
        <v>1.2362036771792229</v>
      </c>
      <c r="G44" s="141">
        <v>0.90248727183642263</v>
      </c>
      <c r="H44" s="142">
        <v>2.8795046103278157</v>
      </c>
      <c r="I44" s="141">
        <v>0.56880722081193169</v>
      </c>
      <c r="J44" s="141">
        <v>0.74927372798244762</v>
      </c>
      <c r="K44" s="141">
        <v>0.63978481571853552</v>
      </c>
      <c r="L44" s="141">
        <v>0.92163884581490085</v>
      </c>
      <c r="M44" s="142">
        <v>3.0122923317128465</v>
      </c>
      <c r="N44" s="141">
        <v>1.0742300777451999</v>
      </c>
      <c r="O44" s="141">
        <v>0.54956952969154249</v>
      </c>
      <c r="P44" s="141">
        <v>0.55504518012393389</v>
      </c>
      <c r="Q44" s="141">
        <v>0.83344754415217004</v>
      </c>
      <c r="R44" s="142">
        <v>3.1663935430572083</v>
      </c>
      <c r="S44" s="141">
        <v>0.84515721359379326</v>
      </c>
      <c r="T44" s="141">
        <v>0.77908268228570143</v>
      </c>
      <c r="U44" s="141">
        <v>0.86669410291928761</v>
      </c>
      <c r="V44" s="141">
        <v>0.67545954425842625</v>
      </c>
    </row>
    <row r="45" spans="1:22" x14ac:dyDescent="0.3">
      <c r="B45" s="141" t="e">
        <v>#VALUE!</v>
      </c>
      <c r="C45" s="142">
        <v>0</v>
      </c>
      <c r="D45" s="141" t="e">
        <v>#VALUE!</v>
      </c>
      <c r="E45" s="141" t="e">
        <v>#VALUE!</v>
      </c>
      <c r="F45" s="141" t="e">
        <v>#VALUE!</v>
      </c>
      <c r="G45" s="141" t="e">
        <v>#VALUE!</v>
      </c>
      <c r="H45" s="142">
        <v>0</v>
      </c>
      <c r="I45" s="141" t="e">
        <v>#VALUE!</v>
      </c>
      <c r="J45" s="141" t="e">
        <v>#VALUE!</v>
      </c>
      <c r="K45" s="141" t="e">
        <v>#VALUE!</v>
      </c>
      <c r="L45" s="141" t="e">
        <v>#VALUE!</v>
      </c>
      <c r="M45" s="142">
        <v>0</v>
      </c>
      <c r="N45" s="141" t="e">
        <v>#VALUE!</v>
      </c>
      <c r="O45" s="141" t="e">
        <v>#VALUE!</v>
      </c>
      <c r="P45" s="141" t="e">
        <v>#VALUE!</v>
      </c>
      <c r="Q45" s="141" t="e">
        <v>#VALUE!</v>
      </c>
      <c r="R45" s="142">
        <v>0</v>
      </c>
      <c r="S45" s="141" t="e">
        <v>#VALUE!</v>
      </c>
      <c r="T45" s="141" t="e">
        <v>#VALUE!</v>
      </c>
      <c r="U45" s="141" t="e">
        <v>#VALUE!</v>
      </c>
      <c r="V45" s="141" t="e">
        <v>#VALUE!</v>
      </c>
    </row>
    <row r="46" spans="1:22" x14ac:dyDescent="0.3">
      <c r="A46" s="113" t="s">
        <v>83</v>
      </c>
      <c r="B46" s="141">
        <v>5.2773471773500873</v>
      </c>
      <c r="C46" s="142">
        <v>21.14908716824241</v>
      </c>
      <c r="D46" s="141">
        <v>5.2836747332635134</v>
      </c>
      <c r="E46" s="141">
        <v>5.2840368162419331</v>
      </c>
      <c r="F46" s="141">
        <v>5.2796918787776033</v>
      </c>
      <c r="G46" s="141">
        <v>5.3016837399593619</v>
      </c>
      <c r="H46" s="142">
        <v>21.206734959837448</v>
      </c>
      <c r="I46" s="141">
        <v>5.3016837399593619</v>
      </c>
      <c r="J46" s="141">
        <v>5.3016837399593619</v>
      </c>
      <c r="K46" s="141">
        <v>5.3016837399593619</v>
      </c>
      <c r="L46" s="141">
        <v>5.3016837399593619</v>
      </c>
      <c r="M46" s="142">
        <v>21.206734959837448</v>
      </c>
      <c r="N46" s="141">
        <v>5.3016837399593619</v>
      </c>
      <c r="O46" s="141">
        <v>5.3016837399593619</v>
      </c>
      <c r="P46" s="141">
        <v>5.3016837399593619</v>
      </c>
      <c r="Q46" s="141">
        <v>5.3016837399593619</v>
      </c>
      <c r="R46" s="142">
        <v>21.206734959837448</v>
      </c>
      <c r="S46" s="141">
        <v>5.3016837399593619</v>
      </c>
      <c r="T46" s="141">
        <v>5.3016837399593619</v>
      </c>
      <c r="U46" s="141">
        <v>5.3016837399593619</v>
      </c>
      <c r="V46" s="141">
        <v>5.3016837399593619</v>
      </c>
    </row>
    <row r="47" spans="1:22" x14ac:dyDescent="0.3">
      <c r="A47" s="113" t="s">
        <v>84</v>
      </c>
      <c r="B47" s="141">
        <v>1.1883079921376376</v>
      </c>
      <c r="C47" s="142">
        <v>4.2161386839250348</v>
      </c>
      <c r="D47" s="141">
        <v>0.9978992286205367</v>
      </c>
      <c r="E47" s="141">
        <v>1.1056421875971465</v>
      </c>
      <c r="F47" s="141">
        <v>1.2177800586642562</v>
      </c>
      <c r="G47" s="141">
        <v>0.89481720904309525</v>
      </c>
      <c r="H47" s="142">
        <v>2.7769266134830439</v>
      </c>
      <c r="I47" s="141">
        <v>0.54352723815499304</v>
      </c>
      <c r="J47" s="141">
        <v>0.73335618401993818</v>
      </c>
      <c r="K47" s="141">
        <v>0.61882750247463902</v>
      </c>
      <c r="L47" s="141">
        <v>0.88121568883347379</v>
      </c>
      <c r="M47" s="142">
        <v>2.848735694162817</v>
      </c>
      <c r="N47" s="141">
        <v>1.0477712143592741</v>
      </c>
      <c r="O47" s="141">
        <v>0.58776135076036373</v>
      </c>
      <c r="P47" s="141">
        <v>0.46092883625043846</v>
      </c>
      <c r="Q47" s="141">
        <v>0.75227429279274083</v>
      </c>
      <c r="R47" s="142">
        <v>3.0655540242224322</v>
      </c>
      <c r="S47" s="141">
        <v>0.77860567991643348</v>
      </c>
      <c r="T47" s="141">
        <v>0.7817316453161246</v>
      </c>
      <c r="U47" s="141">
        <v>0.83959255864204319</v>
      </c>
      <c r="V47" s="141">
        <v>0.66562414034783113</v>
      </c>
    </row>
    <row r="48" spans="1:22" x14ac:dyDescent="0.3">
      <c r="A48" s="113" t="s">
        <v>85</v>
      </c>
      <c r="B48" s="141">
        <v>1.1883079921376376</v>
      </c>
      <c r="C48" s="142">
        <v>4.2161386839250348</v>
      </c>
      <c r="D48" s="141">
        <v>0.9978992286205367</v>
      </c>
      <c r="E48" s="141">
        <v>1.1056421875971465</v>
      </c>
      <c r="F48" s="141">
        <v>1.2177800586642562</v>
      </c>
      <c r="G48" s="141">
        <v>0.89481720904309525</v>
      </c>
      <c r="H48" s="142">
        <v>2.7769266134830439</v>
      </c>
      <c r="I48" s="141">
        <v>0.54352723815499304</v>
      </c>
      <c r="J48" s="141">
        <v>0.73335618401993818</v>
      </c>
      <c r="K48" s="141">
        <v>0.61882750247463902</v>
      </c>
      <c r="L48" s="141">
        <v>0.88121568883347379</v>
      </c>
      <c r="M48" s="142">
        <v>2.848735694162817</v>
      </c>
      <c r="N48" s="141">
        <v>1.0477712143592741</v>
      </c>
      <c r="O48" s="141">
        <v>0.58776135076036373</v>
      </c>
      <c r="P48" s="141">
        <v>0.46092883625043846</v>
      </c>
      <c r="Q48" s="141">
        <v>0.75227429279274083</v>
      </c>
      <c r="R48" s="142">
        <v>3.0655540242224322</v>
      </c>
      <c r="S48" s="141">
        <v>0.77860567991643348</v>
      </c>
      <c r="T48" s="141">
        <v>0.7817316453161246</v>
      </c>
      <c r="U48" s="141">
        <v>0.83959255864204319</v>
      </c>
      <c r="V48" s="141">
        <v>0.66562414034783113</v>
      </c>
    </row>
    <row r="49" spans="1:22" x14ac:dyDescent="0.3">
      <c r="A49" s="113" t="s">
        <v>86</v>
      </c>
      <c r="B49" s="141">
        <v>1.2104390854230702</v>
      </c>
      <c r="C49" s="142">
        <v>4.3045587467836368</v>
      </c>
      <c r="D49" s="141">
        <v>1.0100647070383628</v>
      </c>
      <c r="E49" s="141">
        <v>1.1591927651684282</v>
      </c>
      <c r="F49" s="141">
        <v>1.2347091978404414</v>
      </c>
      <c r="G49" s="141">
        <v>0.90059207673640418</v>
      </c>
      <c r="H49" s="142">
        <v>2.8767156652791139</v>
      </c>
      <c r="I49" s="141">
        <v>0.56880687742476732</v>
      </c>
      <c r="J49" s="141">
        <v>0.74806272559522791</v>
      </c>
      <c r="K49" s="141">
        <v>0.63978135034364303</v>
      </c>
      <c r="L49" s="141">
        <v>0.92006471191547501</v>
      </c>
      <c r="M49" s="142">
        <v>3.01112489645541</v>
      </c>
      <c r="N49" s="141">
        <v>1.0742251986944649</v>
      </c>
      <c r="O49" s="141">
        <v>0.54840765793184154</v>
      </c>
      <c r="P49" s="141">
        <v>0.55504145065349464</v>
      </c>
      <c r="Q49" s="141">
        <v>0.83345058917560921</v>
      </c>
      <c r="R49" s="142">
        <v>3.1648268235092694</v>
      </c>
      <c r="S49" s="141">
        <v>0.84515411668255014</v>
      </c>
      <c r="T49" s="141">
        <v>0.77752355595040057</v>
      </c>
      <c r="U49" s="141">
        <v>0.86669058194175208</v>
      </c>
      <c r="V49" s="141">
        <v>0.67545856893456613</v>
      </c>
    </row>
    <row r="50" spans="1:22" x14ac:dyDescent="0.3">
      <c r="B50" s="141">
        <v>0</v>
      </c>
      <c r="C50" s="142">
        <v>0</v>
      </c>
      <c r="D50" s="141">
        <v>0</v>
      </c>
      <c r="E50" s="141">
        <v>0</v>
      </c>
      <c r="F50" s="141">
        <v>0</v>
      </c>
      <c r="G50" s="141">
        <v>0</v>
      </c>
      <c r="H50" s="142">
        <v>0</v>
      </c>
      <c r="I50" s="141">
        <v>0</v>
      </c>
      <c r="J50" s="141">
        <v>0</v>
      </c>
      <c r="K50" s="141">
        <v>0</v>
      </c>
      <c r="L50" s="141">
        <v>0</v>
      </c>
      <c r="M50" s="142">
        <v>0</v>
      </c>
      <c r="N50" s="141">
        <v>0</v>
      </c>
      <c r="O50" s="141">
        <v>0</v>
      </c>
      <c r="P50" s="141">
        <v>0</v>
      </c>
      <c r="Q50" s="141">
        <v>0</v>
      </c>
      <c r="R50" s="142">
        <v>0</v>
      </c>
      <c r="S50" s="141">
        <v>0</v>
      </c>
      <c r="T50" s="141">
        <v>0</v>
      </c>
      <c r="U50" s="141">
        <v>0</v>
      </c>
      <c r="V50" s="141">
        <v>0</v>
      </c>
    </row>
    <row r="51" spans="1:22" x14ac:dyDescent="0.3">
      <c r="A51" s="113" t="s">
        <v>87</v>
      </c>
      <c r="B51" s="141" t="e">
        <v>#VALUE!</v>
      </c>
      <c r="C51" s="142">
        <v>0</v>
      </c>
      <c r="D51" s="141" t="e">
        <v>#VALUE!</v>
      </c>
      <c r="E51" s="141" t="e">
        <v>#VALUE!</v>
      </c>
      <c r="F51" s="141" t="e">
        <v>#VALUE!</v>
      </c>
      <c r="G51" s="141" t="e">
        <v>#VALUE!</v>
      </c>
      <c r="H51" s="142">
        <v>0</v>
      </c>
      <c r="I51" s="141" t="e">
        <v>#VALUE!</v>
      </c>
      <c r="J51" s="141" t="e">
        <v>#VALUE!</v>
      </c>
      <c r="K51" s="141" t="e">
        <v>#VALUE!</v>
      </c>
      <c r="L51" s="141" t="e">
        <v>#VALUE!</v>
      </c>
      <c r="M51" s="142">
        <v>0</v>
      </c>
      <c r="N51" s="141" t="e">
        <v>#VALUE!</v>
      </c>
      <c r="O51" s="141" t="e">
        <v>#VALUE!</v>
      </c>
      <c r="P51" s="141" t="e">
        <v>#VALUE!</v>
      </c>
      <c r="Q51" s="141" t="e">
        <v>#VALUE!</v>
      </c>
      <c r="R51" s="142">
        <v>0</v>
      </c>
      <c r="S51" s="141" t="e">
        <v>#VALUE!</v>
      </c>
      <c r="T51" s="141" t="e">
        <v>#VALUE!</v>
      </c>
      <c r="U51" s="141" t="e">
        <v>#VALUE!</v>
      </c>
      <c r="V51" s="141" t="e">
        <v>#VALUE!</v>
      </c>
    </row>
    <row r="52" spans="1:22" x14ac:dyDescent="0.3">
      <c r="A52" s="113" t="s">
        <v>88</v>
      </c>
      <c r="B52" s="141" t="e">
        <v>#VALUE!</v>
      </c>
      <c r="C52" s="142">
        <v>0</v>
      </c>
      <c r="D52" s="141" t="e">
        <v>#VALUE!</v>
      </c>
      <c r="E52" s="141" t="e">
        <v>#VALUE!</v>
      </c>
      <c r="F52" s="141" t="e">
        <v>#VALUE!</v>
      </c>
      <c r="G52" s="141" t="e">
        <v>#VALUE!</v>
      </c>
      <c r="H52" s="142">
        <v>0</v>
      </c>
      <c r="I52" s="141" t="e">
        <v>#VALUE!</v>
      </c>
      <c r="J52" s="141" t="e">
        <v>#VALUE!</v>
      </c>
      <c r="K52" s="141" t="e">
        <v>#VALUE!</v>
      </c>
      <c r="L52" s="141" t="e">
        <v>#VALUE!</v>
      </c>
      <c r="M52" s="142">
        <v>0</v>
      </c>
      <c r="N52" s="141" t="e">
        <v>#VALUE!</v>
      </c>
      <c r="O52" s="141" t="e">
        <v>#VALUE!</v>
      </c>
      <c r="P52" s="141" t="e">
        <v>#VALUE!</v>
      </c>
      <c r="Q52" s="141" t="e">
        <v>#VALUE!</v>
      </c>
      <c r="R52" s="142">
        <v>0</v>
      </c>
      <c r="S52" s="141" t="e">
        <v>#VALUE!</v>
      </c>
      <c r="T52" s="141" t="e">
        <v>#VALUE!</v>
      </c>
      <c r="U52" s="141" t="e">
        <v>#VALUE!</v>
      </c>
      <c r="V52" s="141" t="e">
        <v>#VALUE!</v>
      </c>
    </row>
    <row r="53" spans="1:22" x14ac:dyDescent="0.3">
      <c r="A53" s="113" t="s">
        <v>89</v>
      </c>
      <c r="B53" s="141">
        <v>1820.2701868576428</v>
      </c>
      <c r="C53" s="142">
        <v>6567.4167378544698</v>
      </c>
      <c r="D53" s="141">
        <v>1572.555005038748</v>
      </c>
      <c r="E53" s="141">
        <v>1724.1394227492751</v>
      </c>
      <c r="F53" s="141">
        <v>1866.7529065430085</v>
      </c>
      <c r="G53" s="141">
        <v>1403.9694035234381</v>
      </c>
      <c r="H53" s="142">
        <v>4851.4171106078638</v>
      </c>
      <c r="I53" s="141">
        <v>1107.1635314513135</v>
      </c>
      <c r="J53" s="141">
        <v>1264.5604828141386</v>
      </c>
      <c r="K53" s="141">
        <v>1055.3980243349129</v>
      </c>
      <c r="L53" s="141">
        <v>1424.2950720074987</v>
      </c>
      <c r="M53" s="142">
        <v>4776.3557874502267</v>
      </c>
      <c r="N53" s="141">
        <v>1517.4758212018708</v>
      </c>
      <c r="O53" s="141">
        <v>879.69772881703409</v>
      </c>
      <c r="P53" s="141">
        <v>992.30309464858556</v>
      </c>
      <c r="Q53" s="141">
        <v>1386.8791427827357</v>
      </c>
      <c r="R53" s="142">
        <v>5165.0297944725417</v>
      </c>
      <c r="S53" s="141">
        <v>1388.8927335632477</v>
      </c>
      <c r="T53" s="141">
        <v>1258.6466907753543</v>
      </c>
      <c r="U53" s="141">
        <v>1400.7842221526721</v>
      </c>
      <c r="V53" s="141">
        <v>1116.706147981268</v>
      </c>
    </row>
    <row r="54" spans="1:22" x14ac:dyDescent="0.3">
      <c r="A54" s="113" t="s">
        <v>90</v>
      </c>
      <c r="B54" s="141">
        <v>0.38298112396261091</v>
      </c>
      <c r="C54" s="142">
        <v>1.4504981157627619</v>
      </c>
      <c r="D54" s="141">
        <v>0.3787159528252963</v>
      </c>
      <c r="E54" s="141">
        <v>0.36980441219136528</v>
      </c>
      <c r="F54" s="141">
        <v>0.35807779853806476</v>
      </c>
      <c r="G54" s="141">
        <v>0.3438999522080356</v>
      </c>
      <c r="H54" s="142">
        <v>1.4194923901157723</v>
      </c>
      <c r="I54" s="141">
        <v>0.35038781235758998</v>
      </c>
      <c r="J54" s="141">
        <v>0.36395965208612024</v>
      </c>
      <c r="K54" s="141">
        <v>0.35284784049293383</v>
      </c>
      <c r="L54" s="141">
        <v>0.35229708517912856</v>
      </c>
      <c r="M54" s="142">
        <v>1.5861865359423832</v>
      </c>
      <c r="N54" s="141">
        <v>0.36492195596722626</v>
      </c>
      <c r="O54" s="141">
        <v>0.37943427838609023</v>
      </c>
      <c r="P54" s="141">
        <v>0.40862530430690475</v>
      </c>
      <c r="Q54" s="141">
        <v>0.43320499728216216</v>
      </c>
      <c r="R54" s="142">
        <v>1.6270748566914008</v>
      </c>
      <c r="S54" s="141">
        <v>0.42963858357926155</v>
      </c>
      <c r="T54" s="141">
        <v>0.41804673082015303</v>
      </c>
      <c r="U54" s="141">
        <v>0.40677049295411416</v>
      </c>
      <c r="V54" s="141">
        <v>0.37261904933787204</v>
      </c>
    </row>
    <row r="55" spans="1:22" x14ac:dyDescent="0.3">
      <c r="A55" s="113" t="s">
        <v>91</v>
      </c>
      <c r="B55" s="141" t="e">
        <v>#VALUE!</v>
      </c>
      <c r="C55" s="142">
        <v>1357.2659330207882</v>
      </c>
      <c r="D55" s="141">
        <v>1357.2659330207882</v>
      </c>
      <c r="E55" s="141" t="e">
        <v>#VALUE!</v>
      </c>
      <c r="F55" s="141" t="e">
        <v>#VALUE!</v>
      </c>
      <c r="G55" s="141" t="e">
        <v>#VALUE!</v>
      </c>
      <c r="H55" s="142">
        <v>0</v>
      </c>
      <c r="I55" s="141" t="e">
        <v>#VALUE!</v>
      </c>
      <c r="J55" s="141" t="e">
        <v>#VALUE!</v>
      </c>
      <c r="K55" s="141" t="e">
        <v>#VALUE!</v>
      </c>
      <c r="L55" s="141" t="e">
        <v>#VALUE!</v>
      </c>
      <c r="M55" s="142">
        <v>0</v>
      </c>
      <c r="N55" s="141" t="e">
        <v>#VALUE!</v>
      </c>
      <c r="O55" s="141" t="e">
        <v>#VALUE!</v>
      </c>
      <c r="P55" s="141" t="e">
        <v>#VALUE!</v>
      </c>
      <c r="Q55" s="141" t="e">
        <v>#VALUE!</v>
      </c>
      <c r="R55" s="142">
        <v>0</v>
      </c>
      <c r="S55" s="141" t="e">
        <v>#VALUE!</v>
      </c>
      <c r="T55" s="141" t="e">
        <v>#VALUE!</v>
      </c>
      <c r="U55" s="141" t="e">
        <v>#VALUE!</v>
      </c>
      <c r="V55" s="141" t="e">
        <v>#VALUE!</v>
      </c>
    </row>
    <row r="56" spans="1:22" x14ac:dyDescent="0.3">
      <c r="A56" s="113" t="s">
        <v>92</v>
      </c>
      <c r="B56" s="141">
        <v>1566.293027555698</v>
      </c>
      <c r="C56" s="142">
        <v>5637.2212708128818</v>
      </c>
      <c r="D56" s="141">
        <v>1328.4200116066172</v>
      </c>
      <c r="E56" s="141">
        <v>1486.0861542772147</v>
      </c>
      <c r="F56" s="141">
        <v>1651.4018089529297</v>
      </c>
      <c r="G56" s="141">
        <v>1171.3132959761199</v>
      </c>
      <c r="H56" s="142">
        <v>3971.3750637305443</v>
      </c>
      <c r="I56" s="141">
        <v>876.56943678460505</v>
      </c>
      <c r="J56" s="141">
        <v>1034.3197133632834</v>
      </c>
      <c r="K56" s="141">
        <v>839.38724601402498</v>
      </c>
      <c r="L56" s="141">
        <v>1221.0986675686304</v>
      </c>
      <c r="M56" s="142">
        <v>3986.119398233945</v>
      </c>
      <c r="N56" s="141">
        <v>1305.4036156610457</v>
      </c>
      <c r="O56" s="141">
        <v>678.15735514385142</v>
      </c>
      <c r="P56" s="141">
        <v>788.56936748643648</v>
      </c>
      <c r="Q56" s="141">
        <v>1213.9890599426114</v>
      </c>
      <c r="R56" s="142">
        <v>4502.9287399278219</v>
      </c>
      <c r="S56" s="141">
        <v>1217.1930812279077</v>
      </c>
      <c r="T56" s="141">
        <v>1090.2367292666847</v>
      </c>
      <c r="U56" s="141">
        <v>1238.9915156426368</v>
      </c>
      <c r="V56" s="141">
        <v>956.50741379059286</v>
      </c>
    </row>
    <row r="57" spans="1:22" x14ac:dyDescent="0.3">
      <c r="A57" s="113" t="s">
        <v>93</v>
      </c>
      <c r="B57" s="141">
        <v>0.38075226338072177</v>
      </c>
      <c r="C57" s="142">
        <v>1.5176726178351019</v>
      </c>
      <c r="D57" s="141">
        <v>0.37237887061236291</v>
      </c>
      <c r="E57" s="141">
        <v>0.38421474785903736</v>
      </c>
      <c r="F57" s="141">
        <v>0.39529595136946521</v>
      </c>
      <c r="G57" s="141">
        <v>0.36578304799423661</v>
      </c>
      <c r="H57" s="142">
        <v>1.3812615326512721</v>
      </c>
      <c r="I57" s="141">
        <v>0.32328630383953844</v>
      </c>
      <c r="J57" s="141">
        <v>0.34998164516322866</v>
      </c>
      <c r="K57" s="141">
        <v>0.33045120317347376</v>
      </c>
      <c r="L57" s="141">
        <v>0.37754238047503114</v>
      </c>
      <c r="M57" s="142">
        <v>1.3988289150131092</v>
      </c>
      <c r="N57" s="141">
        <v>0.37723474382291522</v>
      </c>
      <c r="O57" s="141">
        <v>0.31151731877927424</v>
      </c>
      <c r="P57" s="141">
        <v>0.30303797380674152</v>
      </c>
      <c r="Q57" s="141">
        <v>0.4070388786041782</v>
      </c>
      <c r="R57" s="142">
        <v>1.6970671364781074</v>
      </c>
      <c r="S57" s="141">
        <v>0.41708564163260464</v>
      </c>
      <c r="T57" s="141">
        <v>0.43125923699032209</v>
      </c>
      <c r="U57" s="141">
        <v>0.43507470042563556</v>
      </c>
      <c r="V57" s="141">
        <v>0.41364755742954507</v>
      </c>
    </row>
    <row r="58" spans="1:22" x14ac:dyDescent="0.3">
      <c r="A58" s="113" t="s">
        <v>94</v>
      </c>
      <c r="B58" s="141">
        <v>0.32902639146529555</v>
      </c>
      <c r="C58" s="142">
        <v>1.2958814469782252</v>
      </c>
      <c r="D58" s="141">
        <v>0.31300760193866706</v>
      </c>
      <c r="E58" s="141">
        <v>0.33973690756642005</v>
      </c>
      <c r="F58" s="141">
        <v>0.33987331905217794</v>
      </c>
      <c r="G58" s="141">
        <v>0.30326361842096011</v>
      </c>
      <c r="H58" s="142">
        <v>1.1394165532397005</v>
      </c>
      <c r="I58" s="141">
        <v>0.25834180512952543</v>
      </c>
      <c r="J58" s="141">
        <v>0.28550649435114434</v>
      </c>
      <c r="K58" s="141">
        <v>0.26539272691989313</v>
      </c>
      <c r="L58" s="141">
        <v>0.3301755268391377</v>
      </c>
      <c r="M58" s="142">
        <v>1.195831873023719</v>
      </c>
      <c r="N58" s="141">
        <v>0.32769272819473066</v>
      </c>
      <c r="O58" s="141">
        <v>0.22723338866401818</v>
      </c>
      <c r="P58" s="141">
        <v>0.2633074716758822</v>
      </c>
      <c r="Q58" s="141">
        <v>0.37759828448908789</v>
      </c>
      <c r="R58" s="142">
        <v>1.4954338010230777</v>
      </c>
      <c r="S58" s="141">
        <v>0.37909234120506707</v>
      </c>
      <c r="T58" s="141">
        <v>0.36940130491374745</v>
      </c>
      <c r="U58" s="141">
        <v>0.39078197915813428</v>
      </c>
      <c r="V58" s="141">
        <v>0.35615817574612874</v>
      </c>
    </row>
    <row r="59" spans="1:22" x14ac:dyDescent="0.3">
      <c r="A59" s="113" t="s">
        <v>95</v>
      </c>
      <c r="B59" s="141">
        <v>0.2035065615775242</v>
      </c>
      <c r="C59" s="142">
        <v>0.79187008557977856</v>
      </c>
      <c r="D59" s="141">
        <v>0.19070705126637061</v>
      </c>
      <c r="E59" s="141">
        <v>0.21236470167675103</v>
      </c>
      <c r="F59" s="141">
        <v>0.20092554455507963</v>
      </c>
      <c r="G59" s="141">
        <v>0.18787278808157729</v>
      </c>
      <c r="H59" s="142">
        <v>0.66409170376957849</v>
      </c>
      <c r="I59" s="141">
        <v>0.13478726604674807</v>
      </c>
      <c r="J59" s="141">
        <v>0.16629404581064722</v>
      </c>
      <c r="K59" s="141">
        <v>0.16264246481813108</v>
      </c>
      <c r="L59" s="141">
        <v>0.20036792709405216</v>
      </c>
      <c r="M59" s="142">
        <v>0.72232563248516324</v>
      </c>
      <c r="N59" s="141">
        <v>0.21681680878251869</v>
      </c>
      <c r="O59" s="141">
        <v>0.14806060482223685</v>
      </c>
      <c r="P59" s="141">
        <v>0.14901310695962081</v>
      </c>
      <c r="Q59" s="141">
        <v>0.20843511192078698</v>
      </c>
      <c r="R59" s="142">
        <v>0.84589611965908129</v>
      </c>
      <c r="S59" s="141">
        <v>0.21163973016030974</v>
      </c>
      <c r="T59" s="141">
        <v>0.2122450180844026</v>
      </c>
      <c r="U59" s="141">
        <v>0.21978908655145799</v>
      </c>
      <c r="V59" s="141">
        <v>0.20222228486291102</v>
      </c>
    </row>
    <row r="60" spans="1:22" x14ac:dyDescent="0.3">
      <c r="A60" s="113" t="s">
        <v>96</v>
      </c>
      <c r="B60" s="141" t="e">
        <v>#VALUE!</v>
      </c>
      <c r="C60" s="142">
        <v>173461.62591722104</v>
      </c>
      <c r="D60" s="141">
        <v>173461.62591722104</v>
      </c>
      <c r="E60" s="141" t="e">
        <v>#VALUE!</v>
      </c>
      <c r="F60" s="141" t="e">
        <v>#VALUE!</v>
      </c>
      <c r="G60" s="141" t="e">
        <v>#VALUE!</v>
      </c>
      <c r="H60" s="142">
        <v>141513.4721962185</v>
      </c>
      <c r="I60" s="141">
        <v>141513.4721962185</v>
      </c>
      <c r="J60" s="141" t="e">
        <v>#VALUE!</v>
      </c>
      <c r="K60" s="141" t="e">
        <v>#VALUE!</v>
      </c>
      <c r="L60" s="141" t="e">
        <v>#VALUE!</v>
      </c>
      <c r="M60" s="142">
        <v>174905.68667526898</v>
      </c>
      <c r="N60" s="141">
        <v>174905.68667526898</v>
      </c>
      <c r="O60" s="141" t="e">
        <v>#VALUE!</v>
      </c>
      <c r="P60" s="141" t="e">
        <v>#VALUE!</v>
      </c>
      <c r="Q60" s="141" t="e">
        <v>#VALUE!</v>
      </c>
      <c r="R60" s="142">
        <v>144024.09419816989</v>
      </c>
      <c r="S60" s="141">
        <v>144024.09419816989</v>
      </c>
      <c r="T60" s="141" t="e">
        <v>#VALUE!</v>
      </c>
      <c r="U60" s="141" t="e">
        <v>#VALUE!</v>
      </c>
      <c r="V60" s="141" t="e">
        <v>#VALUE!</v>
      </c>
    </row>
    <row r="61" spans="1:22" x14ac:dyDescent="0.3">
      <c r="A61" s="113" t="s">
        <v>97</v>
      </c>
      <c r="B61" s="141">
        <v>0.69691687884308462</v>
      </c>
      <c r="C61" s="142">
        <v>3.2198168527402733</v>
      </c>
      <c r="D61" s="141">
        <v>0.69161332676670839</v>
      </c>
      <c r="E61" s="141">
        <v>0.57685679352894603</v>
      </c>
      <c r="F61" s="141">
        <v>1.1978164511451701</v>
      </c>
      <c r="G61" s="141">
        <v>0.75353028129944888</v>
      </c>
      <c r="H61" s="142">
        <v>3.5646522265170417</v>
      </c>
      <c r="I61" s="141">
        <v>0.93711592785343645</v>
      </c>
      <c r="J61" s="141">
        <v>0.91669523002492248</v>
      </c>
      <c r="K61" s="141">
        <v>0.87158803165442111</v>
      </c>
      <c r="L61" s="141">
        <v>0.83925303698426079</v>
      </c>
      <c r="M61" s="142">
        <v>2.8720901127256151</v>
      </c>
      <c r="N61" s="141">
        <v>0.44776547622191198</v>
      </c>
      <c r="O61" s="141">
        <v>0.65794181055264611</v>
      </c>
      <c r="P61" s="141">
        <v>1.0288590094875858</v>
      </c>
      <c r="Q61" s="141">
        <v>0.73752381646347143</v>
      </c>
      <c r="R61" s="142">
        <v>2.2382316733483933</v>
      </c>
      <c r="S61" s="141">
        <v>0.72093118510780874</v>
      </c>
      <c r="T61" s="141">
        <v>0.62817721498617152</v>
      </c>
      <c r="U61" s="141">
        <v>0.48571470334663658</v>
      </c>
      <c r="V61" s="141">
        <v>0.40340856990777635</v>
      </c>
    </row>
    <row r="62" spans="1:22" x14ac:dyDescent="0.3">
      <c r="A62" s="113" t="s">
        <v>98</v>
      </c>
      <c r="B62" s="141">
        <v>557.77446208532774</v>
      </c>
      <c r="C62" s="142">
        <v>2889.6028024619295</v>
      </c>
      <c r="D62" s="141">
        <v>554.1934706815257</v>
      </c>
      <c r="E62" s="141">
        <v>770.45020209498148</v>
      </c>
      <c r="F62" s="141">
        <v>959.09323749230441</v>
      </c>
      <c r="G62" s="141">
        <v>605.86589219311747</v>
      </c>
      <c r="H62" s="142">
        <v>2866.1106994301085</v>
      </c>
      <c r="I62" s="141">
        <v>753.47546317342471</v>
      </c>
      <c r="J62" s="141">
        <v>737.05647562093679</v>
      </c>
      <c r="K62" s="141">
        <v>700.78863919378261</v>
      </c>
      <c r="L62" s="141">
        <v>674.79012144196429</v>
      </c>
      <c r="M62" s="142">
        <v>2309.2174659230072</v>
      </c>
      <c r="N62" s="141">
        <v>359.97324304580064</v>
      </c>
      <c r="O62" s="141">
        <v>528.98645837805066</v>
      </c>
      <c r="P62" s="141">
        <v>827.26165516597064</v>
      </c>
      <c r="Q62" s="141">
        <v>592.99610933318559</v>
      </c>
      <c r="R62" s="142">
        <v>1799.5348748816971</v>
      </c>
      <c r="S62" s="141">
        <v>579.65502716354285</v>
      </c>
      <c r="T62" s="141">
        <v>505.08470352470812</v>
      </c>
      <c r="U62" s="141">
        <v>390.48186214353245</v>
      </c>
      <c r="V62" s="141">
        <v>324.31328204991371</v>
      </c>
    </row>
    <row r="63" spans="1:22" x14ac:dyDescent="0.3">
      <c r="A63" s="113" t="s">
        <v>99</v>
      </c>
      <c r="B63" s="141">
        <v>10.456700145448236</v>
      </c>
      <c r="C63" s="142">
        <v>24.245660172377391</v>
      </c>
      <c r="D63" s="141" t="e">
        <v>#VALUE!</v>
      </c>
      <c r="E63" s="141">
        <v>10.825076284384719</v>
      </c>
      <c r="F63" s="141" t="e">
        <v>#VALUE!</v>
      </c>
      <c r="G63" s="141">
        <v>13.420583887992674</v>
      </c>
      <c r="H63" s="142">
        <v>33.298413854387782</v>
      </c>
      <c r="I63" s="141" t="e">
        <v>#VALUE!</v>
      </c>
      <c r="J63" s="141">
        <v>12.107899677125722</v>
      </c>
      <c r="K63" s="141">
        <v>11.240174784637052</v>
      </c>
      <c r="L63" s="141">
        <v>9.9503393926250077</v>
      </c>
      <c r="M63" s="142">
        <v>40.919417846126727</v>
      </c>
      <c r="N63" s="141">
        <v>11.548947512982998</v>
      </c>
      <c r="O63" s="141">
        <v>11.404502810841036</v>
      </c>
      <c r="P63" s="141">
        <v>9.7586743262542068</v>
      </c>
      <c r="Q63" s="141">
        <v>8.2072931960484876</v>
      </c>
      <c r="R63" s="142">
        <v>22.412791001834297</v>
      </c>
      <c r="S63" s="141">
        <v>6.4481092143402767</v>
      </c>
      <c r="T63" s="141">
        <v>5.6620590507225117</v>
      </c>
      <c r="U63" s="141">
        <v>5.2680051629047995</v>
      </c>
      <c r="V63" s="141">
        <v>5.0346175738667069</v>
      </c>
    </row>
    <row r="64" spans="1:22" x14ac:dyDescent="0.3">
      <c r="A64" s="113" t="s">
        <v>100</v>
      </c>
      <c r="B64" s="141" t="e">
        <v>#VALUE!</v>
      </c>
      <c r="C64" s="142">
        <v>215.28907201795974</v>
      </c>
      <c r="D64" s="141">
        <v>215.28907201795974</v>
      </c>
      <c r="E64" s="141" t="e">
        <v>#VALUE!</v>
      </c>
      <c r="F64" s="141" t="e">
        <v>#VALUE!</v>
      </c>
      <c r="G64" s="141" t="e">
        <v>#VALUE!</v>
      </c>
      <c r="H64" s="142">
        <v>0</v>
      </c>
      <c r="I64" s="141" t="e">
        <v>#VALUE!</v>
      </c>
      <c r="J64" s="141" t="e">
        <v>#VALUE!</v>
      </c>
      <c r="K64" s="141" t="e">
        <v>#VALUE!</v>
      </c>
      <c r="L64" s="141" t="e">
        <v>#VALUE!</v>
      </c>
      <c r="M64" s="142">
        <v>0</v>
      </c>
      <c r="N64" s="141" t="e">
        <v>#VALUE!</v>
      </c>
      <c r="O64" s="141" t="e">
        <v>#VALUE!</v>
      </c>
      <c r="P64" s="141" t="e">
        <v>#VALUE!</v>
      </c>
      <c r="Q64" s="141" t="e">
        <v>#VALUE!</v>
      </c>
      <c r="R64" s="142">
        <v>0</v>
      </c>
      <c r="S64" s="141" t="e">
        <v>#VALUE!</v>
      </c>
      <c r="T64" s="141" t="e">
        <v>#VALUE!</v>
      </c>
      <c r="U64" s="141" t="e">
        <v>#VALUE!</v>
      </c>
      <c r="V64" s="141" t="e">
        <v>#VALUE!</v>
      </c>
    </row>
    <row r="65" spans="1:22" x14ac:dyDescent="0.3">
      <c r="A65" s="113" t="s">
        <v>101</v>
      </c>
      <c r="B65" s="141">
        <v>28.957015787395115</v>
      </c>
      <c r="C65" s="142">
        <v>85.106672228056539</v>
      </c>
      <c r="D65" s="141">
        <v>28.845921414171077</v>
      </c>
      <c r="E65" s="141">
        <v>28.342017908207264</v>
      </c>
      <c r="F65" s="141" t="e">
        <v>#VALUE!</v>
      </c>
      <c r="G65" s="141">
        <v>27.918732905678191</v>
      </c>
      <c r="H65" s="142">
        <v>107.10475084935022</v>
      </c>
      <c r="I65" s="141">
        <v>27.679088286282834</v>
      </c>
      <c r="J65" s="141">
        <v>27.64795989264929</v>
      </c>
      <c r="K65" s="141">
        <v>26.378152115559534</v>
      </c>
      <c r="L65" s="141">
        <v>25.399550554858571</v>
      </c>
      <c r="M65" s="142">
        <v>100.2922019808492</v>
      </c>
      <c r="N65" s="141">
        <v>27.009635312621523</v>
      </c>
      <c r="O65" s="141">
        <v>26.367210498664477</v>
      </c>
      <c r="P65" s="141">
        <v>24.824697847488771</v>
      </c>
      <c r="Q65" s="141">
        <v>22.090658322074436</v>
      </c>
      <c r="R65" s="142">
        <v>78.337940990692957</v>
      </c>
      <c r="S65" s="141">
        <v>16.795075162932815</v>
      </c>
      <c r="T65" s="141">
        <v>20.760883185982543</v>
      </c>
      <c r="U65" s="141">
        <v>20.783362834473728</v>
      </c>
      <c r="V65" s="141">
        <v>19.998619807303864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FFC-101B-480E-B0FA-C3DE8610636E}">
  <sheetPr>
    <tabColor theme="3" tint="0.249977111117893"/>
  </sheetPr>
  <dimension ref="A1:U89"/>
  <sheetViews>
    <sheetView showGridLines="0" zoomScale="90" zoomScaleNormal="90" workbookViewId="0">
      <selection activeCell="V1" sqref="V1:AP1048576"/>
    </sheetView>
  </sheetViews>
  <sheetFormatPr baseColWidth="10" defaultRowHeight="14.4" x14ac:dyDescent="0.3"/>
  <cols>
    <col min="1" max="1" width="33.21875" style="113" customWidth="1"/>
  </cols>
  <sheetData>
    <row r="1" spans="1:21" x14ac:dyDescent="0.3">
      <c r="A1" s="116" t="s">
        <v>102</v>
      </c>
      <c r="B1" s="114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</row>
    <row r="2" spans="1:21" x14ac:dyDescent="0.3">
      <c r="A2" s="117" t="s">
        <v>103</v>
      </c>
      <c r="B2" s="115">
        <v>45747</v>
      </c>
      <c r="C2" s="1">
        <v>45657</v>
      </c>
      <c r="D2" s="1">
        <v>45565</v>
      </c>
      <c r="E2" s="1">
        <v>45473</v>
      </c>
      <c r="F2" s="1">
        <v>45382</v>
      </c>
      <c r="G2" s="1">
        <v>45291</v>
      </c>
      <c r="H2" s="1">
        <v>45199</v>
      </c>
      <c r="I2" s="1">
        <v>45107</v>
      </c>
      <c r="J2" s="1">
        <v>45016</v>
      </c>
      <c r="K2" s="1">
        <v>44926</v>
      </c>
      <c r="L2" s="1">
        <v>44834</v>
      </c>
      <c r="M2" s="1">
        <v>44742</v>
      </c>
      <c r="N2" s="1">
        <v>44651</v>
      </c>
      <c r="O2" s="1">
        <v>44561</v>
      </c>
      <c r="P2" s="1">
        <v>44469</v>
      </c>
      <c r="Q2" s="1">
        <v>44377</v>
      </c>
      <c r="R2" s="1">
        <v>44286</v>
      </c>
      <c r="S2" s="1">
        <v>44196</v>
      </c>
      <c r="T2" s="1">
        <v>44104</v>
      </c>
      <c r="U2" s="2">
        <v>44012</v>
      </c>
    </row>
    <row r="3" spans="1:21" x14ac:dyDescent="0.3">
      <c r="A3" s="118" t="s">
        <v>104</v>
      </c>
      <c r="B3" s="11" t="s">
        <v>51</v>
      </c>
      <c r="C3" s="11" t="s">
        <v>51</v>
      </c>
      <c r="D3" s="11" t="s">
        <v>51</v>
      </c>
      <c r="E3" s="11" t="s">
        <v>51</v>
      </c>
      <c r="F3" s="11" t="s">
        <v>51</v>
      </c>
      <c r="G3" s="11" t="s">
        <v>51</v>
      </c>
      <c r="H3" s="11" t="s">
        <v>51</v>
      </c>
      <c r="I3" s="11" t="s">
        <v>51</v>
      </c>
      <c r="J3" s="11" t="s">
        <v>51</v>
      </c>
      <c r="K3" s="11" t="s">
        <v>51</v>
      </c>
      <c r="L3" s="11" t="s">
        <v>51</v>
      </c>
      <c r="M3" s="11" t="s">
        <v>51</v>
      </c>
      <c r="N3" s="11" t="s">
        <v>51</v>
      </c>
      <c r="O3" s="11" t="s">
        <v>51</v>
      </c>
      <c r="P3" s="11" t="s">
        <v>51</v>
      </c>
      <c r="Q3" s="11" t="s">
        <v>51</v>
      </c>
      <c r="R3" s="11" t="s">
        <v>51</v>
      </c>
      <c r="S3" s="11" t="s">
        <v>51</v>
      </c>
      <c r="T3" s="11" t="s">
        <v>51</v>
      </c>
      <c r="U3" s="11" t="s">
        <v>51</v>
      </c>
    </row>
    <row r="4" spans="1:21" x14ac:dyDescent="0.3">
      <c r="A4" s="112" t="s">
        <v>105</v>
      </c>
      <c r="B4" s="141">
        <v>4284.2880528816086</v>
      </c>
      <c r="C4" s="141">
        <v>3635.3789913603719</v>
      </c>
      <c r="D4" s="141">
        <v>2806.2147195349557</v>
      </c>
      <c r="E4" s="141">
        <v>2338.0268282054012</v>
      </c>
      <c r="F4" s="141">
        <v>1577.987474247682</v>
      </c>
      <c r="G4" s="141">
        <v>1625.9252555069384</v>
      </c>
      <c r="H4" s="141">
        <v>2181.3961125706383</v>
      </c>
      <c r="I4" s="141">
        <v>2093.0476161991105</v>
      </c>
      <c r="J4" s="141">
        <v>2136.4807998438378</v>
      </c>
      <c r="K4" s="141">
        <v>1967.8690215312047</v>
      </c>
      <c r="L4" s="141">
        <v>2084.8665603886038</v>
      </c>
      <c r="M4" s="141">
        <v>2107.3750288383412</v>
      </c>
      <c r="N4" s="141">
        <v>2607.9917989823148</v>
      </c>
      <c r="O4" s="141">
        <v>2646.2913925744397</v>
      </c>
      <c r="P4" s="141">
        <v>2359.1296032990999</v>
      </c>
      <c r="Q4" s="141">
        <v>2153.6498319249495</v>
      </c>
      <c r="R4" s="141">
        <v>1956.9758228071496</v>
      </c>
      <c r="S4" s="141">
        <v>1767.1575879518732</v>
      </c>
      <c r="T4" s="141">
        <v>1514.233359617896</v>
      </c>
      <c r="U4" s="141">
        <v>1307.9086741109918</v>
      </c>
    </row>
    <row r="5" spans="1:21" x14ac:dyDescent="0.3">
      <c r="A5" s="112" t="s">
        <v>106</v>
      </c>
      <c r="B5" s="141">
        <v>4068.6157370115502</v>
      </c>
      <c r="C5" s="141">
        <v>3380.8381263204956</v>
      </c>
      <c r="D5" s="141">
        <v>2505.3601148175276</v>
      </c>
      <c r="E5" s="141">
        <v>1988.9773684148017</v>
      </c>
      <c r="F5" s="141">
        <v>1249.4188525153004</v>
      </c>
      <c r="G5" s="141">
        <v>1069.3699632832077</v>
      </c>
      <c r="H5" s="141">
        <v>1937.9569564798585</v>
      </c>
      <c r="I5" s="141">
        <v>2092.762109772129</v>
      </c>
      <c r="J5" s="141">
        <v>2013.3906505002699</v>
      </c>
      <c r="K5" s="141">
        <v>1787.9273546370209</v>
      </c>
      <c r="L5" s="141">
        <v>2084.5802824830212</v>
      </c>
      <c r="M5" s="141">
        <v>1890.348589989514</v>
      </c>
      <c r="N5" s="141">
        <v>2282.1631527376362</v>
      </c>
      <c r="O5" s="141">
        <v>2276.9832212182832</v>
      </c>
      <c r="P5" s="141">
        <v>1898.5463809512178</v>
      </c>
      <c r="Q5" s="141">
        <v>1753.8463972578845</v>
      </c>
      <c r="R5" s="141">
        <v>1653.6416528960383</v>
      </c>
      <c r="S5" s="141">
        <v>1487.3440136647048</v>
      </c>
      <c r="T5" s="141">
        <v>1492.8708468012658</v>
      </c>
      <c r="U5" s="141">
        <v>1286.080570661572</v>
      </c>
    </row>
    <row r="6" spans="1:21" x14ac:dyDescent="0.3">
      <c r="A6" s="112" t="s">
        <v>107</v>
      </c>
      <c r="B6" s="141">
        <v>215.67231587005813</v>
      </c>
      <c r="C6" s="141">
        <v>254.54086503987531</v>
      </c>
      <c r="D6" s="141">
        <v>300.85460471742795</v>
      </c>
      <c r="E6" s="141">
        <v>349.04945979059954</v>
      </c>
      <c r="F6" s="141">
        <v>328.56862173238176</v>
      </c>
      <c r="G6" s="141">
        <v>556.55529222373093</v>
      </c>
      <c r="H6" s="141">
        <v>243.43915609077985</v>
      </c>
      <c r="I6" s="141">
        <v>0.28550642698119083</v>
      </c>
      <c r="J6" s="141">
        <v>123.09014934356809</v>
      </c>
      <c r="K6" s="141">
        <v>179.94166689418347</v>
      </c>
      <c r="L6" s="141">
        <v>0.28627790558247029</v>
      </c>
      <c r="M6" s="141">
        <v>217.0264388488269</v>
      </c>
      <c r="N6" s="141">
        <v>325.82864624467868</v>
      </c>
      <c r="O6" s="141">
        <v>369.30817135615655</v>
      </c>
      <c r="P6" s="141">
        <v>460.58322234788216</v>
      </c>
      <c r="Q6" s="141">
        <v>399.80343466706483</v>
      </c>
      <c r="R6" s="141">
        <v>303.33416991111113</v>
      </c>
      <c r="S6" s="141">
        <v>279.81357428716831</v>
      </c>
      <c r="T6" s="141">
        <v>21.362512816630399</v>
      </c>
      <c r="U6" s="141">
        <v>21.82810344941965</v>
      </c>
    </row>
    <row r="7" spans="1:21" x14ac:dyDescent="0.3">
      <c r="A7" s="112" t="s">
        <v>108</v>
      </c>
      <c r="B7" s="141">
        <v>1530.166417041416</v>
      </c>
      <c r="C7" s="141">
        <v>1234.4142399161663</v>
      </c>
      <c r="D7" s="141">
        <v>1444.0643542616319</v>
      </c>
      <c r="E7" s="141">
        <v>1807.2934654608978</v>
      </c>
      <c r="F7" s="141">
        <v>1291.0262364395044</v>
      </c>
      <c r="G7" s="141">
        <v>1059.7117369539453</v>
      </c>
      <c r="H7" s="141">
        <v>1114.243972232586</v>
      </c>
      <c r="I7" s="141">
        <v>1016.3077112440458</v>
      </c>
      <c r="J7" s="141">
        <v>1105.3600466656405</v>
      </c>
      <c r="K7" s="141">
        <v>1204.3047422812344</v>
      </c>
      <c r="L7" s="141">
        <v>1017.0499725659895</v>
      </c>
      <c r="M7" s="141">
        <v>952.37570815523964</v>
      </c>
      <c r="N7" s="141">
        <v>950.47382218189409</v>
      </c>
      <c r="O7" s="141">
        <v>1030.5586617819058</v>
      </c>
      <c r="P7" s="141">
        <v>1097.375533271103</v>
      </c>
      <c r="Q7" s="141">
        <v>1051.5899794943903</v>
      </c>
      <c r="R7" s="141">
        <v>898.69767772173873</v>
      </c>
      <c r="S7" s="141">
        <v>728.07383046629559</v>
      </c>
      <c r="T7" s="141">
        <v>664.88211714300803</v>
      </c>
      <c r="U7" s="141">
        <v>607.20522299037077</v>
      </c>
    </row>
    <row r="8" spans="1:21" x14ac:dyDescent="0.3">
      <c r="A8" s="112" t="s">
        <v>109</v>
      </c>
      <c r="B8" s="141">
        <v>1530.166417041416</v>
      </c>
      <c r="C8" s="141">
        <v>1234.4142399161663</v>
      </c>
      <c r="D8" s="141">
        <v>1444.0643542616319</v>
      </c>
      <c r="E8" s="141">
        <v>1807.2934654608978</v>
      </c>
      <c r="F8" s="141">
        <v>1291.0262364395044</v>
      </c>
      <c r="G8" s="141">
        <v>1059.7117369539453</v>
      </c>
      <c r="H8" s="141">
        <v>1114.243972232586</v>
      </c>
      <c r="I8" s="141">
        <v>1016.3077112440458</v>
      </c>
      <c r="J8" s="141">
        <v>1105.3600466656405</v>
      </c>
      <c r="K8" s="141">
        <v>1204.3047422812344</v>
      </c>
      <c r="L8" s="141">
        <v>1017.0499725659895</v>
      </c>
      <c r="M8" s="141">
        <v>952.37570815523964</v>
      </c>
      <c r="N8" s="141">
        <v>950.47382218189409</v>
      </c>
      <c r="O8" s="141">
        <v>1030.5586617819058</v>
      </c>
      <c r="P8" s="141">
        <v>1097.375533271103</v>
      </c>
      <c r="Q8" s="141">
        <v>1051.5899794943903</v>
      </c>
      <c r="R8" s="141">
        <v>898.69767772173873</v>
      </c>
      <c r="S8" s="141">
        <v>728.07383046629559</v>
      </c>
      <c r="T8" s="141">
        <v>664.88211714300803</v>
      </c>
      <c r="U8" s="141">
        <v>607.20522299037077</v>
      </c>
    </row>
    <row r="9" spans="1:21" x14ac:dyDescent="0.3">
      <c r="A9" s="112" t="s">
        <v>110</v>
      </c>
      <c r="B9" s="141">
        <v>0</v>
      </c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0</v>
      </c>
      <c r="U9" s="141">
        <v>0</v>
      </c>
    </row>
    <row r="10" spans="1:21" x14ac:dyDescent="0.3">
      <c r="A10" s="112" t="s">
        <v>111</v>
      </c>
      <c r="B10" s="141">
        <v>954.90845262173775</v>
      </c>
      <c r="C10" s="141">
        <v>1088.4138334297807</v>
      </c>
      <c r="D10" s="141">
        <v>934.64993887120659</v>
      </c>
      <c r="E10" s="141">
        <v>1078.8608644758365</v>
      </c>
      <c r="F10" s="141">
        <v>1012.14700845833</v>
      </c>
      <c r="G10" s="141">
        <v>944.37022636794939</v>
      </c>
      <c r="H10" s="141">
        <v>961.04774086020132</v>
      </c>
      <c r="I10" s="141">
        <v>937.69827501522457</v>
      </c>
      <c r="J10" s="141">
        <v>859.52993332514336</v>
      </c>
      <c r="K10" s="141">
        <v>875.86584764288341</v>
      </c>
      <c r="L10" s="141">
        <v>1005.1217265000532</v>
      </c>
      <c r="M10" s="141">
        <v>958.63780655565915</v>
      </c>
      <c r="N10" s="141">
        <v>825.51272513504205</v>
      </c>
      <c r="O10" s="141">
        <v>737.93370283919649</v>
      </c>
      <c r="P10" s="141">
        <v>670.5204058590341</v>
      </c>
      <c r="Q10" s="141">
        <v>654.78983189609608</v>
      </c>
      <c r="R10" s="141">
        <v>642.33326145880153</v>
      </c>
      <c r="S10" s="141">
        <v>647.2221477304463</v>
      </c>
      <c r="T10" s="141">
        <v>680.0515887847846</v>
      </c>
      <c r="U10" s="141">
        <v>697.07728409807896</v>
      </c>
    </row>
    <row r="11" spans="1:21" x14ac:dyDescent="0.3">
      <c r="A11" s="112" t="s">
        <v>112</v>
      </c>
      <c r="B11" s="141">
        <v>0</v>
      </c>
      <c r="C11" s="141">
        <v>0</v>
      </c>
      <c r="D11" s="141">
        <v>0</v>
      </c>
      <c r="E11" s="141" t="e">
        <v>#VALUE!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</row>
    <row r="12" spans="1:21" x14ac:dyDescent="0.3">
      <c r="A12" s="112" t="s">
        <v>113</v>
      </c>
      <c r="B12" s="141">
        <v>248.78424337531453</v>
      </c>
      <c r="C12" s="141">
        <v>356.7515262972243</v>
      </c>
      <c r="D12" s="141">
        <v>276.41252735801334</v>
      </c>
      <c r="E12" s="141" t="e">
        <v>#VALUE!</v>
      </c>
      <c r="F12" s="141">
        <v>286.26279251448619</v>
      </c>
      <c r="G12" s="141">
        <v>290.67546548644719</v>
      </c>
      <c r="H12" s="141">
        <v>278.41321534299635</v>
      </c>
      <c r="I12" s="141">
        <v>289.21801053194633</v>
      </c>
      <c r="J12" s="141">
        <v>253.70928363987224</v>
      </c>
      <c r="K12" s="141">
        <v>285.50514118352203</v>
      </c>
      <c r="L12" s="141">
        <v>359.46962344305518</v>
      </c>
      <c r="M12" s="141">
        <v>349.96184203487672</v>
      </c>
      <c r="N12" s="141">
        <v>306.03044805957762</v>
      </c>
      <c r="O12" s="141">
        <v>258.41711641208161</v>
      </c>
      <c r="P12" s="141">
        <v>204.35257519933961</v>
      </c>
      <c r="Q12" s="141">
        <v>192.86963053836237</v>
      </c>
      <c r="R12" s="141">
        <v>167.3844481716759</v>
      </c>
      <c r="S12" s="141">
        <v>169.53651080836462</v>
      </c>
      <c r="T12" s="141">
        <v>185.37372685180253</v>
      </c>
      <c r="U12" s="141">
        <v>168.79451983362299</v>
      </c>
    </row>
    <row r="13" spans="1:21" x14ac:dyDescent="0.3">
      <c r="A13" s="112" t="s">
        <v>114</v>
      </c>
      <c r="B13" s="141">
        <v>61.677142576955212</v>
      </c>
      <c r="C13" s="141">
        <v>58.005847353155438</v>
      </c>
      <c r="D13" s="141">
        <v>56.905685898559931</v>
      </c>
      <c r="E13" s="141" t="e">
        <v>#VALUE!</v>
      </c>
      <c r="F13" s="141">
        <v>85.509659527680284</v>
      </c>
      <c r="G13" s="141">
        <v>63.892881870503409</v>
      </c>
      <c r="H13" s="141">
        <v>53.791088314676571</v>
      </c>
      <c r="I13" s="141">
        <v>52.913857800514037</v>
      </c>
      <c r="J13" s="141">
        <v>58.218313878714639</v>
      </c>
      <c r="K13" s="141">
        <v>67.812870144951532</v>
      </c>
      <c r="L13" s="141">
        <v>76.054496916409619</v>
      </c>
      <c r="M13" s="141">
        <v>89.011255834535362</v>
      </c>
      <c r="N13" s="141">
        <v>63.40232698143685</v>
      </c>
      <c r="O13" s="141">
        <v>44.447440627378874</v>
      </c>
      <c r="P13" s="141">
        <v>45.044274936064426</v>
      </c>
      <c r="Q13" s="141">
        <v>42.119269866904048</v>
      </c>
      <c r="R13" s="141">
        <v>42.229017643311693</v>
      </c>
      <c r="S13" s="141">
        <v>34.60206809588157</v>
      </c>
      <c r="T13" s="141">
        <v>40.080805805795144</v>
      </c>
      <c r="U13" s="141">
        <v>46.64246209387391</v>
      </c>
    </row>
    <row r="14" spans="1:21" x14ac:dyDescent="0.3">
      <c r="A14" s="112" t="s">
        <v>115</v>
      </c>
      <c r="B14" s="141">
        <v>644.44706666946786</v>
      </c>
      <c r="C14" s="141">
        <v>673.65645977940085</v>
      </c>
      <c r="D14" s="141">
        <v>601.33172561463334</v>
      </c>
      <c r="E14" s="141" t="e">
        <v>#VALUE!</v>
      </c>
      <c r="F14" s="141">
        <v>640.37455641616339</v>
      </c>
      <c r="G14" s="141">
        <v>589.80187901099885</v>
      </c>
      <c r="H14" s="141">
        <v>628.84343720252843</v>
      </c>
      <c r="I14" s="141">
        <v>595.56640668276418</v>
      </c>
      <c r="J14" s="141">
        <v>547.60233580655654</v>
      </c>
      <c r="K14" s="141">
        <v>522.54783631440989</v>
      </c>
      <c r="L14" s="141">
        <v>569.59760614058837</v>
      </c>
      <c r="M14" s="141">
        <v>519.6647086862472</v>
      </c>
      <c r="N14" s="141">
        <v>456.07995009402742</v>
      </c>
      <c r="O14" s="141">
        <v>435.06914579973591</v>
      </c>
      <c r="P14" s="141">
        <v>421.12355572363003</v>
      </c>
      <c r="Q14" s="141">
        <v>419.80093149082973</v>
      </c>
      <c r="R14" s="141">
        <v>432.719795643814</v>
      </c>
      <c r="S14" s="141">
        <v>443.08356882620006</v>
      </c>
      <c r="T14" s="141">
        <v>454.59705612718693</v>
      </c>
      <c r="U14" s="141">
        <v>481.64030217058217</v>
      </c>
    </row>
    <row r="15" spans="1:21" x14ac:dyDescent="0.3">
      <c r="A15" s="112" t="s">
        <v>116</v>
      </c>
      <c r="B15" s="141">
        <v>366.99876664781203</v>
      </c>
      <c r="C15" s="141">
        <v>448.68923784444382</v>
      </c>
      <c r="D15" s="141">
        <v>407.87126775054065</v>
      </c>
      <c r="E15" s="141">
        <v>432.83830003203781</v>
      </c>
      <c r="F15" s="141">
        <v>549.77622403444377</v>
      </c>
      <c r="G15" s="141">
        <v>483.56138938911516</v>
      </c>
      <c r="H15" s="141">
        <v>420.96945122456583</v>
      </c>
      <c r="I15" s="141">
        <v>492.11791130657929</v>
      </c>
      <c r="J15" s="141">
        <v>449.02516072771039</v>
      </c>
      <c r="K15" s="141">
        <v>433.39766817480489</v>
      </c>
      <c r="L15" s="141">
        <v>625.42179772917007</v>
      </c>
      <c r="M15" s="141">
        <v>426.62781816572777</v>
      </c>
      <c r="N15" s="141">
        <v>239.74255373132448</v>
      </c>
      <c r="O15" s="141">
        <v>242.03375945727987</v>
      </c>
      <c r="P15" s="141">
        <v>201.63375273174677</v>
      </c>
      <c r="Q15" s="141">
        <v>177.19393705746239</v>
      </c>
      <c r="R15" s="141">
        <v>175.18842897967994</v>
      </c>
      <c r="S15" s="141">
        <v>137.38655777439592</v>
      </c>
      <c r="T15" s="141">
        <v>159.27945223865467</v>
      </c>
      <c r="U15" s="141">
        <v>132.10624172319777</v>
      </c>
    </row>
    <row r="16" spans="1:21" x14ac:dyDescent="0.3">
      <c r="A16" s="112" t="s">
        <v>117</v>
      </c>
      <c r="B16" s="141">
        <v>275.76799325273242</v>
      </c>
      <c r="C16" s="141">
        <v>359.76077419211072</v>
      </c>
      <c r="D16" s="141">
        <v>330.0152298296253</v>
      </c>
      <c r="E16" s="141" t="e">
        <v>#VALUE!</v>
      </c>
      <c r="F16" s="141">
        <v>409.68805369971437</v>
      </c>
      <c r="G16" s="141">
        <v>367.19833563367803</v>
      </c>
      <c r="H16" s="141">
        <v>299.20061394079255</v>
      </c>
      <c r="I16" s="141">
        <v>367.54194033378639</v>
      </c>
      <c r="J16" s="141">
        <v>343.96955673604481</v>
      </c>
      <c r="K16" s="141">
        <v>326.19286327049292</v>
      </c>
      <c r="L16" s="141">
        <v>516.82704554488635</v>
      </c>
      <c r="M16" s="141">
        <v>336.81143539399562</v>
      </c>
      <c r="N16" s="141">
        <v>132.41547935946105</v>
      </c>
      <c r="O16" s="141">
        <v>149.95322546131064</v>
      </c>
      <c r="P16" s="141">
        <v>98.5389440281605</v>
      </c>
      <c r="Q16" s="141">
        <v>92.515891898956184</v>
      </c>
      <c r="R16" s="141">
        <v>90.292787292607741</v>
      </c>
      <c r="S16" s="141">
        <v>71.383794024574584</v>
      </c>
      <c r="T16" s="141">
        <v>70.976426947762235</v>
      </c>
      <c r="U16" s="141">
        <v>59.725103900692204</v>
      </c>
    </row>
    <row r="17" spans="1:21" x14ac:dyDescent="0.3">
      <c r="A17" s="112" t="s">
        <v>118</v>
      </c>
      <c r="B17" s="141" t="e">
        <v>#VALUE!</v>
      </c>
      <c r="C17" s="141">
        <v>0</v>
      </c>
      <c r="D17" s="141" t="e">
        <v>#VALUE!</v>
      </c>
      <c r="E17" s="141" t="e">
        <v>#VALUE!</v>
      </c>
      <c r="F17" s="141" t="e">
        <v>#VALUE!</v>
      </c>
      <c r="G17" s="141">
        <v>0</v>
      </c>
      <c r="H17" s="141" t="e">
        <v>#VALUE!</v>
      </c>
      <c r="I17" s="141" t="e">
        <v>#VALUE!</v>
      </c>
      <c r="J17" s="141" t="e">
        <v>#VALUE!</v>
      </c>
      <c r="K17" s="141">
        <v>0</v>
      </c>
      <c r="L17" s="141" t="e">
        <v>#VALUE!</v>
      </c>
      <c r="M17" s="141" t="e">
        <v>#VALUE!</v>
      </c>
      <c r="N17" s="141" t="e">
        <v>#VALUE!</v>
      </c>
      <c r="O17" s="141">
        <v>0</v>
      </c>
      <c r="P17" s="141" t="e">
        <v>#VALUE!</v>
      </c>
      <c r="Q17" s="141" t="e">
        <v>#VALUE!</v>
      </c>
      <c r="R17" s="141" t="e">
        <v>#VALUE!</v>
      </c>
      <c r="S17" s="141">
        <v>0</v>
      </c>
      <c r="T17" s="141" t="e">
        <v>#VALUE!</v>
      </c>
      <c r="U17" s="141" t="e">
        <v>#VALUE!</v>
      </c>
    </row>
    <row r="18" spans="1:21" x14ac:dyDescent="0.3">
      <c r="A18" s="112" t="s">
        <v>119</v>
      </c>
      <c r="B18" s="141">
        <v>91.230773395079581</v>
      </c>
      <c r="C18" s="141">
        <v>88.928463652333107</v>
      </c>
      <c r="D18" s="141">
        <v>77.856037920915327</v>
      </c>
      <c r="E18" s="141">
        <v>432.83830003203781</v>
      </c>
      <c r="F18" s="141">
        <v>140.08817033472943</v>
      </c>
      <c r="G18" s="141">
        <v>116.36305375543718</v>
      </c>
      <c r="H18" s="141">
        <v>121.76883728377332</v>
      </c>
      <c r="I18" s="141">
        <v>124.57597097279294</v>
      </c>
      <c r="J18" s="141">
        <v>105.05560399166552</v>
      </c>
      <c r="K18" s="141">
        <v>107.2048049043119</v>
      </c>
      <c r="L18" s="141">
        <v>108.59475218428372</v>
      </c>
      <c r="M18" s="141">
        <v>89.816382771732179</v>
      </c>
      <c r="N18" s="141">
        <v>107.32707437186342</v>
      </c>
      <c r="O18" s="141">
        <v>92.080533995969219</v>
      </c>
      <c r="P18" s="141">
        <v>103.09480870358628</v>
      </c>
      <c r="Q18" s="141">
        <v>84.678045158506208</v>
      </c>
      <c r="R18" s="141">
        <v>84.895641687072228</v>
      </c>
      <c r="S18" s="141">
        <v>66.002763749821355</v>
      </c>
      <c r="T18" s="141">
        <v>88.303025290892435</v>
      </c>
      <c r="U18" s="141">
        <v>72.381137822505551</v>
      </c>
    </row>
    <row r="19" spans="1:21" x14ac:dyDescent="0.3">
      <c r="A19" s="118" t="s">
        <v>120</v>
      </c>
      <c r="B19" s="141">
        <v>7136.361689192574</v>
      </c>
      <c r="C19" s="141">
        <v>6406.8963025507619</v>
      </c>
      <c r="D19" s="141">
        <v>5592.8002804183343</v>
      </c>
      <c r="E19" s="141">
        <v>5657.0194581741735</v>
      </c>
      <c r="F19" s="141">
        <v>4430.9369431799605</v>
      </c>
      <c r="G19" s="141">
        <v>4113.5686082179491</v>
      </c>
      <c r="H19" s="141">
        <v>4677.6572768879914</v>
      </c>
      <c r="I19" s="141">
        <v>4539.1715137649599</v>
      </c>
      <c r="J19" s="141">
        <v>4550.3959405623327</v>
      </c>
      <c r="K19" s="141">
        <v>4481.4372796301277</v>
      </c>
      <c r="L19" s="141">
        <v>4732.4600571838173</v>
      </c>
      <c r="M19" s="141">
        <v>4445.0163617149683</v>
      </c>
      <c r="N19" s="141">
        <v>4623.7209000305756</v>
      </c>
      <c r="O19" s="141">
        <v>4656.8175166528226</v>
      </c>
      <c r="P19" s="141">
        <v>4328.6592951609837</v>
      </c>
      <c r="Q19" s="141">
        <v>4037.2235803728981</v>
      </c>
      <c r="R19" s="141">
        <v>3673.1951909673699</v>
      </c>
      <c r="S19" s="141">
        <v>3279.8401239230107</v>
      </c>
      <c r="T19" s="141">
        <v>3018.4465177843435</v>
      </c>
      <c r="U19" s="141">
        <v>2744.2974229226393</v>
      </c>
    </row>
    <row r="20" spans="1:21" x14ac:dyDescent="0.3">
      <c r="A20" s="112" t="s">
        <v>121</v>
      </c>
      <c r="B20" s="141">
        <v>10531.866302888315</v>
      </c>
      <c r="C20" s="141">
        <v>11022.978806137737</v>
      </c>
      <c r="D20" s="141">
        <v>10052.488503483421</v>
      </c>
      <c r="E20" s="141">
        <v>11260.477695687681</v>
      </c>
      <c r="F20" s="141">
        <v>10516.889898711883</v>
      </c>
      <c r="G20" s="141">
        <v>9805.2356781008148</v>
      </c>
      <c r="H20" s="141">
        <v>10361.877830902451</v>
      </c>
      <c r="I20" s="141">
        <v>9994.3428140945744</v>
      </c>
      <c r="J20" s="141">
        <v>9145.528059157783</v>
      </c>
      <c r="K20" s="141">
        <v>9025.5906659166067</v>
      </c>
      <c r="L20" s="141">
        <v>9947.393811242624</v>
      </c>
      <c r="M20" s="141">
        <v>9308.6092722236954</v>
      </c>
      <c r="N20" s="141">
        <v>8331.0337035013945</v>
      </c>
      <c r="O20" s="141">
        <v>7873.6441454032756</v>
      </c>
      <c r="P20" s="141">
        <v>7644.0795901696147</v>
      </c>
      <c r="Q20" s="141">
        <v>7618.3870317173705</v>
      </c>
      <c r="R20" s="141">
        <v>7597.0659149918411</v>
      </c>
      <c r="S20" s="141">
        <v>7109.5670504799837</v>
      </c>
      <c r="T20" s="141">
        <v>7055.4743470013764</v>
      </c>
      <c r="U20" s="141">
        <v>7258.164352845788</v>
      </c>
    </row>
    <row r="21" spans="1:21" x14ac:dyDescent="0.3">
      <c r="A21" s="112" t="s">
        <v>122</v>
      </c>
      <c r="B21" s="141" t="e">
        <v>#VALUE!</v>
      </c>
      <c r="C21" s="141">
        <v>21899.230835607566</v>
      </c>
      <c r="D21" s="141" t="e">
        <v>#VALUE!</v>
      </c>
      <c r="E21" s="141" t="e">
        <v>#VALUE!</v>
      </c>
      <c r="F21" s="141" t="e">
        <v>#VALUE!</v>
      </c>
      <c r="G21" s="141">
        <v>19094.40632051212</v>
      </c>
      <c r="H21" s="141" t="e">
        <v>#VALUE!</v>
      </c>
      <c r="I21" s="141" t="e">
        <v>#VALUE!</v>
      </c>
      <c r="J21" s="141" t="e">
        <v>#VALUE!</v>
      </c>
      <c r="K21" s="141">
        <v>17232.675669892553</v>
      </c>
      <c r="L21" s="141" t="e">
        <v>#VALUE!</v>
      </c>
      <c r="M21" s="141" t="e">
        <v>#VALUE!</v>
      </c>
      <c r="N21" s="141" t="e">
        <v>#VALUE!</v>
      </c>
      <c r="O21" s="141">
        <v>14557.750387463235</v>
      </c>
      <c r="P21" s="141" t="e">
        <v>#VALUE!</v>
      </c>
      <c r="Q21" s="141" t="e">
        <v>#VALUE!</v>
      </c>
      <c r="R21" s="141" t="e">
        <v>#VALUE!</v>
      </c>
      <c r="S21" s="141">
        <v>12679.001499156857</v>
      </c>
      <c r="T21" s="141" t="e">
        <v>#VALUE!</v>
      </c>
      <c r="U21" s="141" t="e">
        <v>#VALUE!</v>
      </c>
    </row>
    <row r="22" spans="1:21" x14ac:dyDescent="0.3">
      <c r="A22" s="112" t="s">
        <v>123</v>
      </c>
      <c r="B22" s="141" t="e">
        <v>#VALUE!</v>
      </c>
      <c r="C22" s="141">
        <v>10876.252029469828</v>
      </c>
      <c r="D22" s="141" t="e">
        <v>#VALUE!</v>
      </c>
      <c r="E22" s="141" t="e">
        <v>#VALUE!</v>
      </c>
      <c r="F22" s="141" t="e">
        <v>#VALUE!</v>
      </c>
      <c r="G22" s="141">
        <v>9289.1706424112999</v>
      </c>
      <c r="H22" s="141" t="e">
        <v>#VALUE!</v>
      </c>
      <c r="I22" s="141" t="e">
        <v>#VALUE!</v>
      </c>
      <c r="J22" s="141" t="e">
        <v>#VALUE!</v>
      </c>
      <c r="K22" s="141">
        <v>8207.085003975948</v>
      </c>
      <c r="L22" s="141" t="e">
        <v>#VALUE!</v>
      </c>
      <c r="M22" s="141" t="e">
        <v>#VALUE!</v>
      </c>
      <c r="N22" s="141" t="e">
        <v>#VALUE!</v>
      </c>
      <c r="O22" s="141">
        <v>6684.1062420599592</v>
      </c>
      <c r="P22" s="141" t="e">
        <v>#VALUE!</v>
      </c>
      <c r="Q22" s="141" t="e">
        <v>#VALUE!</v>
      </c>
      <c r="R22" s="141" t="e">
        <v>#VALUE!</v>
      </c>
      <c r="S22" s="141">
        <v>5569.4344486768759</v>
      </c>
      <c r="T22" s="141" t="e">
        <v>#VALUE!</v>
      </c>
      <c r="U22" s="141" t="e">
        <v>#VALUE!</v>
      </c>
    </row>
    <row r="23" spans="1:21" x14ac:dyDescent="0.3">
      <c r="A23" s="112" t="s">
        <v>124</v>
      </c>
      <c r="B23" s="141">
        <v>113.66781083893989</v>
      </c>
      <c r="C23" s="141">
        <v>116.11546187510007</v>
      </c>
      <c r="D23" s="141">
        <v>107.58288876344663</v>
      </c>
      <c r="E23" s="141" t="e">
        <v>#VALUE!</v>
      </c>
      <c r="F23" s="141">
        <v>113.64702707354475</v>
      </c>
      <c r="G23" s="141">
        <v>100.48270084866961</v>
      </c>
      <c r="H23" s="141">
        <v>98.616995243573712</v>
      </c>
      <c r="I23" s="141">
        <v>95.359146611717748</v>
      </c>
      <c r="J23" s="141">
        <v>90.960643789450401</v>
      </c>
      <c r="K23" s="141">
        <v>95.715490599498466</v>
      </c>
      <c r="L23" s="141">
        <v>130.92442881971641</v>
      </c>
      <c r="M23" s="141">
        <v>103.59299925265522</v>
      </c>
      <c r="N23" s="141">
        <v>93.540474825963116</v>
      </c>
      <c r="O23" s="141">
        <v>87.52960150852428</v>
      </c>
      <c r="P23" s="141">
        <v>88.54543441754916</v>
      </c>
      <c r="Q23" s="141">
        <v>90.391615679581903</v>
      </c>
      <c r="R23" s="141">
        <v>103.20217610584811</v>
      </c>
      <c r="S23" s="141">
        <v>77.854653215733535</v>
      </c>
      <c r="T23" s="141">
        <v>76.543205531900441</v>
      </c>
      <c r="U23" s="141">
        <v>76.007304845047585</v>
      </c>
    </row>
    <row r="24" spans="1:21" x14ac:dyDescent="0.3">
      <c r="A24" s="112" t="s">
        <v>125</v>
      </c>
      <c r="B24" s="141">
        <v>113.66781083893989</v>
      </c>
      <c r="C24" s="141">
        <v>116.11546187510007</v>
      </c>
      <c r="D24" s="141">
        <v>107.58288876344663</v>
      </c>
      <c r="E24" s="141" t="e">
        <v>#VALUE!</v>
      </c>
      <c r="F24" s="141">
        <v>113.64702707354475</v>
      </c>
      <c r="G24" s="141">
        <v>100.48270084866961</v>
      </c>
      <c r="H24" s="141">
        <v>98.616995243573712</v>
      </c>
      <c r="I24" s="141">
        <v>95.359146611717748</v>
      </c>
      <c r="J24" s="141">
        <v>90.960643789450401</v>
      </c>
      <c r="K24" s="141">
        <v>95.715490599498466</v>
      </c>
      <c r="L24" s="141">
        <v>130.92442881971641</v>
      </c>
      <c r="M24" s="141">
        <v>103.59299925265522</v>
      </c>
      <c r="N24" s="141">
        <v>93.540474825963116</v>
      </c>
      <c r="O24" s="141">
        <v>87.52960150852428</v>
      </c>
      <c r="P24" s="141">
        <v>88.54543441754916</v>
      </c>
      <c r="Q24" s="141">
        <v>90.391615679581903</v>
      </c>
      <c r="R24" s="141">
        <v>103.20217610584811</v>
      </c>
      <c r="S24" s="141">
        <v>77.854653215733535</v>
      </c>
      <c r="T24" s="141">
        <v>76.543205531900441</v>
      </c>
      <c r="U24" s="141">
        <v>76.007304845047585</v>
      </c>
    </row>
    <row r="25" spans="1:21" x14ac:dyDescent="0.3">
      <c r="A25" s="112" t="s">
        <v>126</v>
      </c>
      <c r="B25" s="141">
        <v>1780.0379177377988</v>
      </c>
      <c r="C25" s="141">
        <v>1872.4785608008765</v>
      </c>
      <c r="D25" s="141">
        <v>1626.0115556089347</v>
      </c>
      <c r="E25" s="141">
        <v>1937.8555696852152</v>
      </c>
      <c r="F25" s="141">
        <v>1690.53694443114</v>
      </c>
      <c r="G25" s="141">
        <v>1513.0911690641162</v>
      </c>
      <c r="H25" s="141">
        <v>1575.5074804547762</v>
      </c>
      <c r="I25" s="141">
        <v>1492.2469250216909</v>
      </c>
      <c r="J25" s="141">
        <v>1379.0298950639294</v>
      </c>
      <c r="K25" s="141">
        <v>1322.4805465593158</v>
      </c>
      <c r="L25" s="141">
        <v>1491.0307582420328</v>
      </c>
      <c r="M25" s="141">
        <v>1459.4267614920705</v>
      </c>
      <c r="N25" s="141">
        <v>1298.5053060673542</v>
      </c>
      <c r="O25" s="141">
        <v>1260.5324501474568</v>
      </c>
      <c r="P25" s="141">
        <v>1246.4698788588266</v>
      </c>
      <c r="Q25" s="141">
        <v>1216.038259235607</v>
      </c>
      <c r="R25" s="141">
        <v>1184.2358540145976</v>
      </c>
      <c r="S25" s="141">
        <v>1075.7292547997199</v>
      </c>
      <c r="T25" s="141">
        <v>1155.9415729963005</v>
      </c>
      <c r="U25" s="141">
        <v>1159.0936235584338</v>
      </c>
    </row>
    <row r="26" spans="1:21" x14ac:dyDescent="0.3">
      <c r="A26" s="112" t="s">
        <v>127</v>
      </c>
      <c r="B26" s="141">
        <v>121.17977051177419</v>
      </c>
      <c r="C26" s="141">
        <v>129.29389231132677</v>
      </c>
      <c r="D26" s="141">
        <v>118.3411776397913</v>
      </c>
      <c r="E26" s="141">
        <v>135.0167007941152</v>
      </c>
      <c r="F26" s="141">
        <v>128.51393403926744</v>
      </c>
      <c r="G26" s="141">
        <v>120.91356423749336</v>
      </c>
      <c r="H26" s="141">
        <v>128.56661218068302</v>
      </c>
      <c r="I26" s="141">
        <v>126.0035031076989</v>
      </c>
      <c r="J26" s="141">
        <v>117.7498228073251</v>
      </c>
      <c r="K26" s="141">
        <v>116.36170201942637</v>
      </c>
      <c r="L26" s="141">
        <v>110.40784558630604</v>
      </c>
      <c r="M26" s="141">
        <v>120.85849912809775</v>
      </c>
      <c r="N26" s="141">
        <v>109.65155917902104</v>
      </c>
      <c r="O26" s="141">
        <v>104.74729608602428</v>
      </c>
      <c r="P26" s="141">
        <v>102.13954675551314</v>
      </c>
      <c r="Q26" s="141">
        <v>102.62451666701317</v>
      </c>
      <c r="R26" s="141">
        <v>86.208460888418699</v>
      </c>
      <c r="S26" s="141">
        <v>97.403459403761119</v>
      </c>
      <c r="T26" s="141">
        <v>100.75869237290169</v>
      </c>
      <c r="U26" s="141">
        <v>103.73681737036897</v>
      </c>
    </row>
    <row r="27" spans="1:21" x14ac:dyDescent="0.3">
      <c r="A27" s="112" t="s">
        <v>128</v>
      </c>
      <c r="B27" s="141" t="e">
        <v>#VALUE!</v>
      </c>
      <c r="C27" s="141">
        <v>43.478443722669276</v>
      </c>
      <c r="D27" s="141" t="e">
        <v>#VALUE!</v>
      </c>
      <c r="E27" s="141" t="e">
        <v>#VALUE!</v>
      </c>
      <c r="F27" s="141" t="e">
        <v>#VALUE!</v>
      </c>
      <c r="G27" s="141">
        <v>38.911507999623446</v>
      </c>
      <c r="H27" s="141" t="e">
        <v>#VALUE!</v>
      </c>
      <c r="I27" s="141" t="e">
        <v>#VALUE!</v>
      </c>
      <c r="J27" s="141" t="e">
        <v>#VALUE!</v>
      </c>
      <c r="K27" s="141">
        <v>36.195659351254378</v>
      </c>
      <c r="L27" s="141" t="e">
        <v>#VALUE!</v>
      </c>
      <c r="M27" s="141" t="e">
        <v>#VALUE!</v>
      </c>
      <c r="N27" s="141" t="e">
        <v>#VALUE!</v>
      </c>
      <c r="O27" s="141">
        <v>31.780678537323801</v>
      </c>
      <c r="P27" s="141" t="e">
        <v>#VALUE!</v>
      </c>
      <c r="Q27" s="141" t="e">
        <v>#VALUE!</v>
      </c>
      <c r="R27" s="141" t="e">
        <v>#VALUE!</v>
      </c>
      <c r="S27" s="141">
        <v>28.53989474837476</v>
      </c>
      <c r="T27" s="141" t="e">
        <v>#VALUE!</v>
      </c>
      <c r="U27" s="141" t="e">
        <v>#VALUE!</v>
      </c>
    </row>
    <row r="28" spans="1:21" x14ac:dyDescent="0.3">
      <c r="A28" s="112" t="s">
        <v>129</v>
      </c>
      <c r="B28" s="141" t="e">
        <v>#VALUE!</v>
      </c>
      <c r="C28" s="141">
        <v>85.815448588657517</v>
      </c>
      <c r="D28" s="141" t="e">
        <v>#VALUE!</v>
      </c>
      <c r="E28" s="141" t="e">
        <v>#VALUE!</v>
      </c>
      <c r="F28" s="141" t="e">
        <v>#VALUE!</v>
      </c>
      <c r="G28" s="141">
        <v>82.002056237869937</v>
      </c>
      <c r="H28" s="141" t="e">
        <v>#VALUE!</v>
      </c>
      <c r="I28" s="141" t="e">
        <v>#VALUE!</v>
      </c>
      <c r="J28" s="141" t="e">
        <v>#VALUE!</v>
      </c>
      <c r="K28" s="141">
        <v>80.166042668171997</v>
      </c>
      <c r="L28" s="141" t="e">
        <v>#VALUE!</v>
      </c>
      <c r="M28" s="141" t="e">
        <v>#VALUE!</v>
      </c>
      <c r="N28" s="141" t="e">
        <v>#VALUE!</v>
      </c>
      <c r="O28" s="141">
        <v>72.966617548700484</v>
      </c>
      <c r="P28" s="141" t="e">
        <v>#VALUE!</v>
      </c>
      <c r="Q28" s="141" t="e">
        <v>#VALUE!</v>
      </c>
      <c r="R28" s="141" t="e">
        <v>#VALUE!</v>
      </c>
      <c r="S28" s="141">
        <v>68.863564655386355</v>
      </c>
      <c r="T28" s="141" t="e">
        <v>#VALUE!</v>
      </c>
      <c r="U28" s="141" t="e">
        <v>#VALUE!</v>
      </c>
    </row>
    <row r="29" spans="1:21" x14ac:dyDescent="0.3">
      <c r="A29" s="112" t="s">
        <v>130</v>
      </c>
      <c r="B29" s="141">
        <v>285.35562599306036</v>
      </c>
      <c r="C29" s="141">
        <v>322.30082625921432</v>
      </c>
      <c r="D29" s="141">
        <v>258.48204589743887</v>
      </c>
      <c r="E29" s="141">
        <v>285.30630411325211</v>
      </c>
      <c r="F29" s="141">
        <v>252.6376405181872</v>
      </c>
      <c r="G29" s="141">
        <v>237.83382335808031</v>
      </c>
      <c r="H29" s="141">
        <v>253.19248529069378</v>
      </c>
      <c r="I29" s="141">
        <v>224.31288279822226</v>
      </c>
      <c r="J29" s="141">
        <v>228.6710313551919</v>
      </c>
      <c r="K29" s="141">
        <v>204.99355522798723</v>
      </c>
      <c r="L29" s="141">
        <v>234.46160467204317</v>
      </c>
      <c r="M29" s="141">
        <v>254.33065360561213</v>
      </c>
      <c r="N29" s="141">
        <v>239.34178048871109</v>
      </c>
      <c r="O29" s="141">
        <v>239.83414208834813</v>
      </c>
      <c r="P29" s="141">
        <v>210.67200039428499</v>
      </c>
      <c r="Q29" s="141">
        <v>171.91987196108485</v>
      </c>
      <c r="R29" s="141">
        <v>185.54511379030217</v>
      </c>
      <c r="S29" s="141">
        <v>156.6629067333221</v>
      </c>
      <c r="T29" s="141">
        <v>148.98091185799896</v>
      </c>
      <c r="U29" s="141">
        <v>132.10624172319777</v>
      </c>
    </row>
    <row r="30" spans="1:21" x14ac:dyDescent="0.3">
      <c r="A30" s="112" t="s">
        <v>118</v>
      </c>
      <c r="B30" s="141" t="e">
        <v>#VALUE!</v>
      </c>
      <c r="C30" s="141">
        <v>0</v>
      </c>
      <c r="D30" s="141" t="e">
        <v>#VALUE!</v>
      </c>
      <c r="E30" s="141" t="e">
        <v>#VALUE!</v>
      </c>
      <c r="F30" s="141" t="e">
        <v>#VALUE!</v>
      </c>
      <c r="G30" s="141">
        <v>0</v>
      </c>
      <c r="H30" s="141" t="e">
        <v>#VALUE!</v>
      </c>
      <c r="I30" s="141" t="e">
        <v>#VALUE!</v>
      </c>
      <c r="J30" s="141" t="e">
        <v>#VALUE!</v>
      </c>
      <c r="K30" s="141">
        <v>0</v>
      </c>
      <c r="L30" s="141" t="e">
        <v>#VALUE!</v>
      </c>
      <c r="M30" s="141" t="e">
        <v>#VALUE!</v>
      </c>
      <c r="N30" s="141" t="e">
        <v>#VALUE!</v>
      </c>
      <c r="O30" s="141">
        <v>0</v>
      </c>
      <c r="P30" s="141" t="e">
        <v>#VALUE!</v>
      </c>
      <c r="Q30" s="141" t="e">
        <v>#VALUE!</v>
      </c>
      <c r="R30" s="141" t="e">
        <v>#VALUE!</v>
      </c>
      <c r="S30" s="141">
        <v>0</v>
      </c>
      <c r="T30" s="141" t="e">
        <v>#VALUE!</v>
      </c>
      <c r="U30" s="141" t="e">
        <v>#VALUE!</v>
      </c>
    </row>
    <row r="31" spans="1:21" x14ac:dyDescent="0.3">
      <c r="A31" s="112" t="s">
        <v>131</v>
      </c>
      <c r="B31" s="141" t="e">
        <v>#VALUE!</v>
      </c>
      <c r="C31" s="141">
        <v>35.695906063480265</v>
      </c>
      <c r="D31" s="141" t="e">
        <v>#VALUE!</v>
      </c>
      <c r="E31" s="141" t="e">
        <v>#VALUE!</v>
      </c>
      <c r="F31" s="141" t="e">
        <v>#VALUE!</v>
      </c>
      <c r="G31" s="141">
        <v>23.959830701438779</v>
      </c>
      <c r="H31" s="141" t="e">
        <v>#VALUE!</v>
      </c>
      <c r="I31" s="141" t="e">
        <v>#VALUE!</v>
      </c>
      <c r="J31" s="141" t="e">
        <v>#VALUE!</v>
      </c>
      <c r="K31" s="141">
        <v>17.795479299184734</v>
      </c>
      <c r="L31" s="141" t="e">
        <v>#VALUE!</v>
      </c>
      <c r="M31" s="141" t="e">
        <v>#VALUE!</v>
      </c>
      <c r="N31" s="141" t="e">
        <v>#VALUE!</v>
      </c>
      <c r="O31" s="141">
        <v>14.942228333777539</v>
      </c>
      <c r="P31" s="141" t="e">
        <v>#VALUE!</v>
      </c>
      <c r="Q31" s="141" t="e">
        <v>#VALUE!</v>
      </c>
      <c r="R31" s="141" t="e">
        <v>#VALUE!</v>
      </c>
      <c r="S31" s="141">
        <v>16.688005282462569</v>
      </c>
      <c r="T31" s="141" t="e">
        <v>#VALUE!</v>
      </c>
      <c r="U31" s="141" t="e">
        <v>#VALUE!</v>
      </c>
    </row>
    <row r="32" spans="1:21" x14ac:dyDescent="0.3">
      <c r="A32" s="112" t="s">
        <v>132</v>
      </c>
      <c r="B32" s="141">
        <v>1373.5025212329642</v>
      </c>
      <c r="C32" s="141">
        <v>1385.187936166855</v>
      </c>
      <c r="D32" s="141">
        <v>1249.1883320717045</v>
      </c>
      <c r="E32" s="141">
        <v>1517.5325647778479</v>
      </c>
      <c r="F32" s="141">
        <v>1309.3853698736852</v>
      </c>
      <c r="G32" s="141">
        <v>1130.3839507671039</v>
      </c>
      <c r="H32" s="141">
        <v>1193.7483829833993</v>
      </c>
      <c r="I32" s="141">
        <v>1141.93053911577</v>
      </c>
      <c r="J32" s="141">
        <v>1032.6090409014123</v>
      </c>
      <c r="K32" s="141">
        <v>983.32981001271742</v>
      </c>
      <c r="L32" s="141">
        <v>1146.1613079836834</v>
      </c>
      <c r="M32" s="141">
        <v>1084.2376087583605</v>
      </c>
      <c r="N32" s="141">
        <v>949.511966399622</v>
      </c>
      <c r="O32" s="141">
        <v>901.00878363930678</v>
      </c>
      <c r="P32" s="141">
        <v>933.65833170902863</v>
      </c>
      <c r="Q32" s="141">
        <v>941.49387060750905</v>
      </c>
      <c r="R32" s="141">
        <v>912.4822793358768</v>
      </c>
      <c r="S32" s="141">
        <v>804.97488338017399</v>
      </c>
      <c r="T32" s="141">
        <v>906.20196876539944</v>
      </c>
      <c r="U32" s="141">
        <v>923.25056446486701</v>
      </c>
    </row>
    <row r="33" spans="1:21" x14ac:dyDescent="0.3">
      <c r="A33" s="118" t="s">
        <v>133</v>
      </c>
      <c r="B33" s="141">
        <v>12425.572031465053</v>
      </c>
      <c r="C33" s="141">
        <v>13011.572828813712</v>
      </c>
      <c r="D33" s="141">
        <v>11786.082947855803</v>
      </c>
      <c r="E33" s="141">
        <v>13198.333265372896</v>
      </c>
      <c r="F33" s="141">
        <v>12321.073870216569</v>
      </c>
      <c r="G33" s="141">
        <v>11418.809548013602</v>
      </c>
      <c r="H33" s="141">
        <v>12036.0023066008</v>
      </c>
      <c r="I33" s="141">
        <v>11581.948885727983</v>
      </c>
      <c r="J33" s="141">
        <v>10615.518598011162</v>
      </c>
      <c r="K33" s="141">
        <v>10443.786703075421</v>
      </c>
      <c r="L33" s="141">
        <v>11569.348998304373</v>
      </c>
      <c r="M33" s="141">
        <v>10871.629032968422</v>
      </c>
      <c r="N33" s="141">
        <v>9723.0794843947115</v>
      </c>
      <c r="O33" s="141">
        <v>9221.7061970592549</v>
      </c>
      <c r="P33" s="141">
        <v>8979.0949034459918</v>
      </c>
      <c r="Q33" s="141">
        <v>8924.8169066325609</v>
      </c>
      <c r="R33" s="141">
        <v>8884.5039451122884</v>
      </c>
      <c r="S33" s="141">
        <v>8263.1509584954347</v>
      </c>
      <c r="T33" s="141">
        <v>8287.9591255295782</v>
      </c>
      <c r="U33" s="141">
        <v>8493.2652812492688</v>
      </c>
    </row>
    <row r="34" spans="1:21" x14ac:dyDescent="0.3">
      <c r="A34" s="118" t="s">
        <v>104</v>
      </c>
      <c r="B34" s="141">
        <v>19561.933720657627</v>
      </c>
      <c r="C34" s="141">
        <v>19418.469131364476</v>
      </c>
      <c r="D34" s="141">
        <v>17378.883228274135</v>
      </c>
      <c r="E34" s="141">
        <v>18855.352723547068</v>
      </c>
      <c r="F34" s="141">
        <v>16752.01081339653</v>
      </c>
      <c r="G34" s="141">
        <v>15532.378156231549</v>
      </c>
      <c r="H34" s="141">
        <v>16713.659583488792</v>
      </c>
      <c r="I34" s="141">
        <v>16121.120399492942</v>
      </c>
      <c r="J34" s="141">
        <v>15165.914538573494</v>
      </c>
      <c r="K34" s="141">
        <v>14925.223982705549</v>
      </c>
      <c r="L34" s="141">
        <v>16301.809055488187</v>
      </c>
      <c r="M34" s="141">
        <v>15316.64539468339</v>
      </c>
      <c r="N34" s="141">
        <v>14346.800384425287</v>
      </c>
      <c r="O34" s="141">
        <v>13878.523713712077</v>
      </c>
      <c r="P34" s="141">
        <v>13307.754198606974</v>
      </c>
      <c r="Q34" s="141">
        <v>12962.040487005457</v>
      </c>
      <c r="R34" s="141">
        <v>12557.699136079656</v>
      </c>
      <c r="S34" s="141">
        <v>11542.991082418446</v>
      </c>
      <c r="T34" s="141">
        <v>11306.405643313921</v>
      </c>
      <c r="U34" s="141">
        <v>11237.562704171909</v>
      </c>
    </row>
    <row r="35" spans="1:21" x14ac:dyDescent="0.3">
      <c r="A35" s="119"/>
      <c r="B35" s="141" t="e">
        <v>#VALUE!</v>
      </c>
      <c r="C35" s="141" t="e">
        <v>#VALUE!</v>
      </c>
      <c r="D35" s="141" t="e">
        <v>#VALUE!</v>
      </c>
      <c r="E35" s="141" t="e">
        <v>#VALUE!</v>
      </c>
      <c r="F35" s="141" t="e">
        <v>#VALUE!</v>
      </c>
      <c r="G35" s="141" t="e">
        <v>#VALUE!</v>
      </c>
      <c r="H35" s="141" t="e">
        <v>#VALUE!</v>
      </c>
      <c r="I35" s="141" t="e">
        <v>#VALUE!</v>
      </c>
      <c r="J35" s="141" t="e">
        <v>#VALUE!</v>
      </c>
      <c r="K35" s="141" t="e">
        <v>#VALUE!</v>
      </c>
      <c r="L35" s="141" t="e">
        <v>#VALUE!</v>
      </c>
      <c r="M35" s="141" t="e">
        <v>#VALUE!</v>
      </c>
      <c r="N35" s="141" t="e">
        <v>#VALUE!</v>
      </c>
      <c r="O35" s="141" t="e">
        <v>#VALUE!</v>
      </c>
      <c r="P35" s="141" t="e">
        <v>#VALUE!</v>
      </c>
      <c r="Q35" s="141" t="e">
        <v>#VALUE!</v>
      </c>
      <c r="R35" s="141" t="e">
        <v>#VALUE!</v>
      </c>
      <c r="S35" s="141" t="e">
        <v>#VALUE!</v>
      </c>
      <c r="T35" s="141" t="e">
        <v>#VALUE!</v>
      </c>
      <c r="U35" s="141" t="e">
        <v>#VALUE!</v>
      </c>
    </row>
    <row r="36" spans="1:21" x14ac:dyDescent="0.3">
      <c r="A36" s="119" t="s">
        <v>134</v>
      </c>
      <c r="B36" s="141" t="e">
        <v>#VALUE!</v>
      </c>
      <c r="C36" s="141" t="e">
        <v>#VALUE!</v>
      </c>
      <c r="D36" s="141" t="e">
        <v>#VALUE!</v>
      </c>
      <c r="E36" s="141" t="e">
        <v>#VALUE!</v>
      </c>
      <c r="F36" s="141" t="e">
        <v>#VALUE!</v>
      </c>
      <c r="G36" s="141" t="e">
        <v>#VALUE!</v>
      </c>
      <c r="H36" s="141" t="e">
        <v>#VALUE!</v>
      </c>
      <c r="I36" s="141" t="e">
        <v>#VALUE!</v>
      </c>
      <c r="J36" s="141" t="e">
        <v>#VALUE!</v>
      </c>
      <c r="K36" s="141" t="e">
        <v>#VALUE!</v>
      </c>
      <c r="L36" s="141" t="e">
        <v>#VALUE!</v>
      </c>
      <c r="M36" s="141" t="e">
        <v>#VALUE!</v>
      </c>
      <c r="N36" s="141" t="e">
        <v>#VALUE!</v>
      </c>
      <c r="O36" s="141" t="e">
        <v>#VALUE!</v>
      </c>
      <c r="P36" s="141" t="e">
        <v>#VALUE!</v>
      </c>
      <c r="Q36" s="141" t="e">
        <v>#VALUE!</v>
      </c>
      <c r="R36" s="141" t="e">
        <v>#VALUE!</v>
      </c>
      <c r="S36" s="141" t="e">
        <v>#VALUE!</v>
      </c>
      <c r="T36" s="141" t="e">
        <v>#VALUE!</v>
      </c>
      <c r="U36" s="141" t="e">
        <v>#VALUE!</v>
      </c>
    </row>
    <row r="37" spans="1:21" x14ac:dyDescent="0.3">
      <c r="A37" s="113" t="s">
        <v>135</v>
      </c>
      <c r="B37" s="141">
        <v>1345.5303556091205</v>
      </c>
      <c r="C37" s="141">
        <v>1729.1761007030093</v>
      </c>
      <c r="D37" s="141">
        <v>1476.0561080254988</v>
      </c>
      <c r="E37" s="141">
        <v>1483.4867195658205</v>
      </c>
      <c r="F37" s="141">
        <v>1260.194865617972</v>
      </c>
      <c r="G37" s="141">
        <v>1217.0293850478884</v>
      </c>
      <c r="H37" s="141">
        <v>1194.3394938440001</v>
      </c>
      <c r="I37" s="141">
        <v>938.07895025119944</v>
      </c>
      <c r="J37" s="141">
        <v>1025.2551486219957</v>
      </c>
      <c r="K37" s="141">
        <v>1000.6933602026987</v>
      </c>
      <c r="L37" s="141">
        <v>1057.2243053160628</v>
      </c>
      <c r="M37" s="141">
        <v>1013.2075211878869</v>
      </c>
      <c r="N37" s="141">
        <v>1083.2099201354458</v>
      </c>
      <c r="O37" s="141">
        <v>1423.2282865736129</v>
      </c>
      <c r="P37" s="141">
        <v>1261.3131798981174</v>
      </c>
      <c r="Q37" s="141">
        <v>1010.9357277098135</v>
      </c>
      <c r="R37" s="141">
        <v>950.77283937514892</v>
      </c>
      <c r="S37" s="141">
        <v>895.15822621274731</v>
      </c>
      <c r="T37" s="141">
        <v>759.23901414415081</v>
      </c>
      <c r="U37" s="141">
        <v>584.52390377094127</v>
      </c>
    </row>
    <row r="38" spans="1:21" x14ac:dyDescent="0.3">
      <c r="A38" s="113" t="s">
        <v>136</v>
      </c>
      <c r="B38" s="141">
        <v>676.47173685365613</v>
      </c>
      <c r="C38" s="141">
        <v>638.3756223910774</v>
      </c>
      <c r="D38" s="141">
        <v>575.00222915410552</v>
      </c>
      <c r="E38" s="141">
        <v>686.43211904125201</v>
      </c>
      <c r="F38" s="141">
        <v>746.83757475459379</v>
      </c>
      <c r="G38" s="141">
        <v>606.05370216119957</v>
      </c>
      <c r="H38" s="141">
        <v>609.33677880270068</v>
      </c>
      <c r="I38" s="141">
        <v>580.62490367074849</v>
      </c>
      <c r="J38" s="141">
        <v>580.08202670731316</v>
      </c>
      <c r="K38" s="141">
        <v>568.07316442446017</v>
      </c>
      <c r="L38" s="141">
        <v>632.29246746314948</v>
      </c>
      <c r="M38" s="141">
        <v>600.71415369739202</v>
      </c>
      <c r="N38" s="141">
        <v>556.03279680180469</v>
      </c>
      <c r="O38" s="141">
        <v>448.94948988644296</v>
      </c>
      <c r="P38" s="141">
        <v>449.12007897100449</v>
      </c>
      <c r="Q38" s="141">
        <v>410.79107028451801</v>
      </c>
      <c r="R38" s="141">
        <v>400.40985641067567</v>
      </c>
      <c r="S38" s="141">
        <v>405.00767105927525</v>
      </c>
      <c r="T38" s="141">
        <v>394.40626268619246</v>
      </c>
      <c r="U38" s="141">
        <v>394.47009100123847</v>
      </c>
    </row>
    <row r="39" spans="1:21" x14ac:dyDescent="0.3">
      <c r="A39" s="113" t="s">
        <v>137</v>
      </c>
      <c r="B39" s="141">
        <v>257.08693564528932</v>
      </c>
      <c r="C39" s="141">
        <v>659.12905614891474</v>
      </c>
      <c r="D39" s="141">
        <v>501.86473898597296</v>
      </c>
      <c r="E39" s="141">
        <v>386.91353063388243</v>
      </c>
      <c r="F39" s="141">
        <v>141.98395041760682</v>
      </c>
      <c r="G39" s="141">
        <v>258.45042186862065</v>
      </c>
      <c r="H39" s="141">
        <v>210.43546637389954</v>
      </c>
      <c r="I39" s="141">
        <v>80.893487644670742</v>
      </c>
      <c r="J39" s="141">
        <v>88.246707352999024</v>
      </c>
      <c r="K39" s="141">
        <v>119.29881996201027</v>
      </c>
      <c r="L39" s="141">
        <v>90.368392195533133</v>
      </c>
      <c r="M39" s="141">
        <v>148.50119063852131</v>
      </c>
      <c r="N39" s="141">
        <v>189.96651699874255</v>
      </c>
      <c r="O39" s="141">
        <v>631.51773150777569</v>
      </c>
      <c r="P39" s="141">
        <v>481.23157676392481</v>
      </c>
      <c r="Q39" s="141">
        <v>337.54016616816324</v>
      </c>
      <c r="R39" s="141">
        <v>207.42543381274345</v>
      </c>
      <c r="S39" s="141">
        <v>232.20167350169345</v>
      </c>
      <c r="T39" s="141">
        <v>132.35016083788605</v>
      </c>
      <c r="U39" s="141">
        <v>31.355679547863406</v>
      </c>
    </row>
    <row r="40" spans="1:21" x14ac:dyDescent="0.3">
      <c r="A40" s="113" t="s">
        <v>138</v>
      </c>
      <c r="B40" s="141">
        <v>133.04075946888096</v>
      </c>
      <c r="C40" s="141">
        <v>100.75792089430041</v>
      </c>
      <c r="D40" s="141">
        <v>119.94548387573742</v>
      </c>
      <c r="E40" s="141" t="e">
        <v>#VALUE!</v>
      </c>
      <c r="F40" s="141">
        <v>126.81770975458765</v>
      </c>
      <c r="G40" s="141">
        <v>90.174401593399438</v>
      </c>
      <c r="H40" s="141">
        <v>125.21698397061157</v>
      </c>
      <c r="I40" s="141">
        <v>92.408913532912109</v>
      </c>
      <c r="J40" s="141">
        <v>111.18384755784601</v>
      </c>
      <c r="K40" s="141">
        <v>83.880633007322203</v>
      </c>
      <c r="L40" s="141">
        <v>125.19887070806701</v>
      </c>
      <c r="M40" s="141">
        <v>88.206128897338559</v>
      </c>
      <c r="N40" s="141">
        <v>105.16289886175113</v>
      </c>
      <c r="O40" s="141">
        <v>74.786990543678442</v>
      </c>
      <c r="P40" s="141">
        <v>96.407975067074247</v>
      </c>
      <c r="Q40" s="141">
        <v>72.225391458725895</v>
      </c>
      <c r="R40" s="141">
        <v>95.762867298218069</v>
      </c>
      <c r="S40" s="141">
        <v>67.160706973502414</v>
      </c>
      <c r="T40" s="141">
        <v>91.295168779866714</v>
      </c>
      <c r="U40" s="141">
        <v>70.176997083313339</v>
      </c>
    </row>
    <row r="41" spans="1:21" x14ac:dyDescent="0.3">
      <c r="A41" s="113" t="s">
        <v>139</v>
      </c>
      <c r="B41" s="141">
        <v>278.93092364129421</v>
      </c>
      <c r="C41" s="141">
        <v>330.91350126871674</v>
      </c>
      <c r="D41" s="141">
        <v>279.24365600968298</v>
      </c>
      <c r="E41" s="141">
        <v>410.14106989068614</v>
      </c>
      <c r="F41" s="141">
        <v>244.55563069118361</v>
      </c>
      <c r="G41" s="141">
        <v>262.35085942466884</v>
      </c>
      <c r="H41" s="141">
        <v>249.35026469678826</v>
      </c>
      <c r="I41" s="141">
        <v>184.1516454028681</v>
      </c>
      <c r="J41" s="141">
        <v>245.74256700383759</v>
      </c>
      <c r="K41" s="141">
        <v>229.44074280890607</v>
      </c>
      <c r="L41" s="141">
        <v>209.36457494931327</v>
      </c>
      <c r="M41" s="141">
        <v>175.78604795463517</v>
      </c>
      <c r="N41" s="141">
        <v>232.04770747314754</v>
      </c>
      <c r="O41" s="141">
        <v>267.97407463571602</v>
      </c>
      <c r="P41" s="141">
        <v>234.55354909611361</v>
      </c>
      <c r="Q41" s="141">
        <v>190.37909979840626</v>
      </c>
      <c r="R41" s="141">
        <v>247.1746818535118</v>
      </c>
      <c r="S41" s="141">
        <v>190.78817467827616</v>
      </c>
      <c r="T41" s="141">
        <v>141.18742184020547</v>
      </c>
      <c r="U41" s="141">
        <v>88.521136138525947</v>
      </c>
    </row>
    <row r="42" spans="1:21" x14ac:dyDescent="0.3">
      <c r="A42" s="113" t="s">
        <v>140</v>
      </c>
      <c r="B42" s="141">
        <v>576.34522174074652</v>
      </c>
      <c r="C42" s="141">
        <v>603.50985367791066</v>
      </c>
      <c r="D42" s="141">
        <v>542.91610443518289</v>
      </c>
      <c r="E42" s="141">
        <v>529.77880633668929</v>
      </c>
      <c r="F42" s="141">
        <v>76.828982306083802</v>
      </c>
      <c r="G42" s="141">
        <v>72.436697469466083</v>
      </c>
      <c r="H42" s="141">
        <v>70.73626631856736</v>
      </c>
      <c r="I42" s="141">
        <v>71.281437936303988</v>
      </c>
      <c r="J42" s="141">
        <v>66.710308534707607</v>
      </c>
      <c r="K42" s="141">
        <v>66.776240282863085</v>
      </c>
      <c r="L42" s="141">
        <v>359.66047538011014</v>
      </c>
      <c r="M42" s="141">
        <v>336.18522555395367</v>
      </c>
      <c r="N42" s="141">
        <v>300.0990040688996</v>
      </c>
      <c r="O42" s="141">
        <v>283.37139621823809</v>
      </c>
      <c r="P42" s="141">
        <v>53.347705715469445</v>
      </c>
      <c r="Q42" s="141">
        <v>52.740650963775501</v>
      </c>
      <c r="R42" s="141">
        <v>52.002227253335469</v>
      </c>
      <c r="S42" s="141">
        <v>48.08870093640234</v>
      </c>
      <c r="T42" s="141">
        <v>49.126821005019742</v>
      </c>
      <c r="U42" s="141">
        <v>49.557615974741033</v>
      </c>
    </row>
    <row r="43" spans="1:21" x14ac:dyDescent="0.3">
      <c r="A43" s="113" t="s">
        <v>141</v>
      </c>
      <c r="B43" s="141">
        <v>0</v>
      </c>
      <c r="C43" s="141">
        <v>0</v>
      </c>
      <c r="D43" s="141">
        <v>0</v>
      </c>
      <c r="E43" s="141">
        <v>0</v>
      </c>
      <c r="F43" s="141">
        <v>0</v>
      </c>
      <c r="G43" s="141">
        <v>0</v>
      </c>
      <c r="H43" s="141">
        <v>0</v>
      </c>
      <c r="I43" s="141">
        <v>0</v>
      </c>
      <c r="J43" s="141">
        <v>0</v>
      </c>
      <c r="K43" s="141">
        <v>0</v>
      </c>
      <c r="L43" s="141">
        <v>0</v>
      </c>
      <c r="M43" s="141">
        <v>0</v>
      </c>
      <c r="N43" s="141">
        <v>0</v>
      </c>
      <c r="O43" s="141">
        <v>0</v>
      </c>
      <c r="P43" s="141">
        <v>0</v>
      </c>
      <c r="Q43" s="141">
        <v>0</v>
      </c>
      <c r="R43" s="141">
        <v>0</v>
      </c>
      <c r="S43" s="141">
        <v>0</v>
      </c>
      <c r="T43" s="141">
        <v>0</v>
      </c>
      <c r="U43" s="141">
        <v>0</v>
      </c>
    </row>
    <row r="44" spans="1:21" x14ac:dyDescent="0.3">
      <c r="A44" s="113" t="s">
        <v>142</v>
      </c>
      <c r="B44" s="141" t="e">
        <v>#VALUE!</v>
      </c>
      <c r="C44" s="141" t="e">
        <v>#VALUE!</v>
      </c>
      <c r="D44" s="141" t="e">
        <v>#VALUE!</v>
      </c>
      <c r="E44" s="141" t="e">
        <v>#VALUE!</v>
      </c>
      <c r="F44" s="141" t="e">
        <v>#VALUE!</v>
      </c>
      <c r="G44" s="141" t="e">
        <v>#VALUE!</v>
      </c>
      <c r="H44" s="141" t="e">
        <v>#VALUE!</v>
      </c>
      <c r="I44" s="141" t="e">
        <v>#VALUE!</v>
      </c>
      <c r="J44" s="141" t="e">
        <v>#VALUE!</v>
      </c>
      <c r="K44" s="141" t="e">
        <v>#VALUE!</v>
      </c>
      <c r="L44" s="141" t="e">
        <v>#VALUE!</v>
      </c>
      <c r="M44" s="141" t="e">
        <v>#VALUE!</v>
      </c>
      <c r="N44" s="141" t="e">
        <v>#VALUE!</v>
      </c>
      <c r="O44" s="141">
        <v>0</v>
      </c>
      <c r="P44" s="141" t="e">
        <v>#VALUE!</v>
      </c>
      <c r="Q44" s="141" t="e">
        <v>#VALUE!</v>
      </c>
      <c r="R44" s="141" t="e">
        <v>#VALUE!</v>
      </c>
      <c r="S44" s="141">
        <v>0</v>
      </c>
      <c r="T44" s="141" t="e">
        <v>#VALUE!</v>
      </c>
      <c r="U44" s="141" t="e">
        <v>#VALUE!</v>
      </c>
    </row>
    <row r="45" spans="1:21" x14ac:dyDescent="0.3">
      <c r="A45" s="113" t="s">
        <v>143</v>
      </c>
      <c r="B45" s="141">
        <v>494.20787321278215</v>
      </c>
      <c r="C45" s="141">
        <v>518.62830960835572</v>
      </c>
      <c r="D45" s="141">
        <v>471.47729145805215</v>
      </c>
      <c r="E45" s="141">
        <v>529.77880633668929</v>
      </c>
      <c r="F45" s="141">
        <v>0</v>
      </c>
      <c r="G45" s="141" t="e">
        <v>#VALUE!</v>
      </c>
      <c r="H45" s="141" t="e">
        <v>#VALUE!</v>
      </c>
      <c r="I45" s="141">
        <v>0</v>
      </c>
      <c r="J45" s="141">
        <v>0</v>
      </c>
      <c r="K45" s="141">
        <v>0</v>
      </c>
      <c r="L45" s="141">
        <v>286.27790558247028</v>
      </c>
      <c r="M45" s="141">
        <v>268.28618718368995</v>
      </c>
      <c r="N45" s="141">
        <v>240.30363627098319</v>
      </c>
      <c r="O45" s="141">
        <v>227.31907774787459</v>
      </c>
      <c r="P45" s="141" t="e">
        <v>#VALUE!</v>
      </c>
      <c r="Q45" s="141" t="e">
        <v>#VALUE!</v>
      </c>
      <c r="R45" s="141">
        <v>0</v>
      </c>
      <c r="S45" s="141">
        <v>0</v>
      </c>
      <c r="T45" s="141">
        <v>0</v>
      </c>
      <c r="U45" s="141">
        <v>0</v>
      </c>
    </row>
    <row r="46" spans="1:21" x14ac:dyDescent="0.3">
      <c r="A46" s="113" t="s">
        <v>144</v>
      </c>
      <c r="B46" s="141">
        <v>0</v>
      </c>
      <c r="C46" s="141">
        <v>0.10376716878918683</v>
      </c>
      <c r="D46" s="141">
        <v>0</v>
      </c>
      <c r="E46" s="141">
        <v>0</v>
      </c>
      <c r="F46" s="141">
        <v>0</v>
      </c>
      <c r="G46" s="141">
        <v>0</v>
      </c>
      <c r="H46" s="141">
        <v>0</v>
      </c>
      <c r="I46" s="141">
        <v>0</v>
      </c>
      <c r="J46" s="141">
        <v>0</v>
      </c>
      <c r="K46" s="141">
        <v>0</v>
      </c>
      <c r="L46" s="141">
        <v>0</v>
      </c>
      <c r="M46" s="141">
        <v>0</v>
      </c>
      <c r="N46" s="141">
        <v>0</v>
      </c>
      <c r="O46" s="141">
        <v>0</v>
      </c>
      <c r="P46" s="141">
        <v>0</v>
      </c>
      <c r="Q46" s="141">
        <v>0</v>
      </c>
      <c r="R46" s="141">
        <v>0</v>
      </c>
      <c r="S46" s="141">
        <v>0</v>
      </c>
      <c r="T46" s="141">
        <v>0</v>
      </c>
      <c r="U46" s="141">
        <v>0</v>
      </c>
    </row>
    <row r="47" spans="1:21" x14ac:dyDescent="0.3">
      <c r="A47" s="113" t="s">
        <v>145</v>
      </c>
      <c r="B47" s="141" t="e">
        <v>#VALUE!</v>
      </c>
      <c r="C47" s="141">
        <v>0</v>
      </c>
      <c r="D47" s="141" t="e">
        <v>#VALUE!</v>
      </c>
      <c r="E47" s="141" t="e">
        <v>#VALUE!</v>
      </c>
      <c r="F47" s="141" t="e">
        <v>#VALUE!</v>
      </c>
      <c r="G47" s="141">
        <v>0</v>
      </c>
      <c r="H47" s="141" t="e">
        <v>#VALUE!</v>
      </c>
      <c r="I47" s="141" t="e">
        <v>#VALUE!</v>
      </c>
      <c r="J47" s="141" t="e">
        <v>#VALUE!</v>
      </c>
      <c r="K47" s="141">
        <v>0</v>
      </c>
      <c r="L47" s="141" t="e">
        <v>#VALUE!</v>
      </c>
      <c r="M47" s="141" t="e">
        <v>#VALUE!</v>
      </c>
      <c r="N47" s="141" t="e">
        <v>#VALUE!</v>
      </c>
      <c r="O47" s="141">
        <v>0</v>
      </c>
      <c r="P47" s="141" t="e">
        <v>#VALUE!</v>
      </c>
      <c r="Q47" s="141" t="e">
        <v>#VALUE!</v>
      </c>
      <c r="R47" s="141" t="e">
        <v>#VALUE!</v>
      </c>
      <c r="S47" s="141">
        <v>0</v>
      </c>
      <c r="T47" s="141" t="e">
        <v>#VALUE!</v>
      </c>
      <c r="U47" s="141" t="e">
        <v>#VALUE!</v>
      </c>
    </row>
    <row r="48" spans="1:21" x14ac:dyDescent="0.3">
      <c r="A48" s="113" t="s">
        <v>146</v>
      </c>
      <c r="B48" s="141" t="e">
        <v>#VALUE!</v>
      </c>
      <c r="C48" s="141">
        <v>0</v>
      </c>
      <c r="D48" s="141" t="e">
        <v>#VALUE!</v>
      </c>
      <c r="E48" s="141" t="e">
        <v>#VALUE!</v>
      </c>
      <c r="F48" s="141" t="e">
        <v>#VALUE!</v>
      </c>
      <c r="G48" s="141">
        <v>0</v>
      </c>
      <c r="H48" s="141" t="e">
        <v>#VALUE!</v>
      </c>
      <c r="I48" s="141" t="e">
        <v>#VALUE!</v>
      </c>
      <c r="J48" s="141" t="e">
        <v>#VALUE!</v>
      </c>
      <c r="K48" s="141">
        <v>0</v>
      </c>
      <c r="L48" s="141" t="e">
        <v>#VALUE!</v>
      </c>
      <c r="M48" s="141" t="e">
        <v>#VALUE!</v>
      </c>
      <c r="N48" s="141" t="e">
        <v>#VALUE!</v>
      </c>
      <c r="O48" s="141">
        <v>0</v>
      </c>
      <c r="P48" s="141" t="e">
        <v>#VALUE!</v>
      </c>
      <c r="Q48" s="141" t="e">
        <v>#VALUE!</v>
      </c>
      <c r="R48" s="141" t="e">
        <v>#VALUE!</v>
      </c>
      <c r="S48" s="141">
        <v>0</v>
      </c>
      <c r="T48" s="141" t="e">
        <v>#VALUE!</v>
      </c>
      <c r="U48" s="141" t="e">
        <v>#VALUE!</v>
      </c>
    </row>
    <row r="49" spans="1:21" x14ac:dyDescent="0.3">
      <c r="A49" s="113" t="s">
        <v>147</v>
      </c>
      <c r="B49" s="141">
        <v>0</v>
      </c>
      <c r="C49" s="141">
        <v>0.10376716878918683</v>
      </c>
      <c r="D49" s="141">
        <v>0</v>
      </c>
      <c r="E49" s="141">
        <v>0</v>
      </c>
      <c r="F49" s="141">
        <v>0</v>
      </c>
      <c r="G49" s="141">
        <v>0</v>
      </c>
      <c r="H49" s="141">
        <v>0</v>
      </c>
      <c r="I49" s="141">
        <v>0</v>
      </c>
      <c r="J49" s="141">
        <v>0</v>
      </c>
      <c r="K49" s="141">
        <v>0</v>
      </c>
      <c r="L49" s="141">
        <v>0</v>
      </c>
      <c r="M49" s="141">
        <v>0</v>
      </c>
      <c r="N49" s="141">
        <v>0</v>
      </c>
      <c r="O49" s="141">
        <v>0</v>
      </c>
      <c r="P49" s="141">
        <v>0</v>
      </c>
      <c r="Q49" s="141">
        <v>0</v>
      </c>
      <c r="R49" s="141">
        <v>0</v>
      </c>
      <c r="S49" s="141">
        <v>0</v>
      </c>
      <c r="T49" s="141">
        <v>0</v>
      </c>
      <c r="U49" s="141">
        <v>0</v>
      </c>
    </row>
    <row r="50" spans="1:21" x14ac:dyDescent="0.3">
      <c r="A50" s="119" t="s">
        <v>148</v>
      </c>
      <c r="B50" s="141">
        <v>1921.8755773498672</v>
      </c>
      <c r="C50" s="141">
        <v>2332.7897215497087</v>
      </c>
      <c r="D50" s="141">
        <v>2018.9722124606819</v>
      </c>
      <c r="E50" s="141">
        <v>2013.2655259025096</v>
      </c>
      <c r="F50" s="141">
        <v>1337.0238479240556</v>
      </c>
      <c r="G50" s="141">
        <v>1289.4660825173544</v>
      </c>
      <c r="H50" s="141">
        <v>1265.0757601625676</v>
      </c>
      <c r="I50" s="141">
        <v>1009.3603881875033</v>
      </c>
      <c r="J50" s="141">
        <v>1091.9654571567032</v>
      </c>
      <c r="K50" s="141">
        <v>1067.4696004855618</v>
      </c>
      <c r="L50" s="141">
        <v>1416.884780696173</v>
      </c>
      <c r="M50" s="141">
        <v>1349.3927467418407</v>
      </c>
      <c r="N50" s="141">
        <v>1383.3089242043454</v>
      </c>
      <c r="O50" s="141">
        <v>1706.5996827918511</v>
      </c>
      <c r="P50" s="141">
        <v>1314.6608856135865</v>
      </c>
      <c r="Q50" s="141">
        <v>1063.6763786735889</v>
      </c>
      <c r="R50" s="141">
        <v>1002.7750666284845</v>
      </c>
      <c r="S50" s="141">
        <v>943.24692714914966</v>
      </c>
      <c r="T50" s="141">
        <v>808.36583514917049</v>
      </c>
      <c r="U50" s="141">
        <v>634.08151974568227</v>
      </c>
    </row>
    <row r="51" spans="1:21" x14ac:dyDescent="0.3">
      <c r="A51" s="113" t="s">
        <v>149</v>
      </c>
      <c r="B51" s="141">
        <v>7299.0549210542222</v>
      </c>
      <c r="C51" s="141">
        <v>6657.8053166830168</v>
      </c>
      <c r="D51" s="141">
        <v>6046.4414613708686</v>
      </c>
      <c r="E51" s="141">
        <v>6815.0024426754699</v>
      </c>
      <c r="F51" s="141">
        <v>6920.1959698970759</v>
      </c>
      <c r="G51" s="141">
        <v>6456.15283086831</v>
      </c>
      <c r="H51" s="141">
        <v>6865.6541274020065</v>
      </c>
      <c r="I51" s="141">
        <v>6653.8224496056473</v>
      </c>
      <c r="J51" s="141">
        <v>6135.6850047965645</v>
      </c>
      <c r="K51" s="141">
        <v>6068.8631417748784</v>
      </c>
      <c r="L51" s="141">
        <v>6720.9463893596558</v>
      </c>
      <c r="M51" s="141">
        <v>6313.3581487544361</v>
      </c>
      <c r="N51" s="141">
        <v>5670.8612283308166</v>
      </c>
      <c r="O51" s="141">
        <v>5377.9127692884722</v>
      </c>
      <c r="P51" s="141">
        <v>5438.1593070037834</v>
      </c>
      <c r="Q51" s="141">
        <v>5433.8985691594362</v>
      </c>
      <c r="R51" s="141">
        <v>5423.0373175620743</v>
      </c>
      <c r="S51" s="141">
        <v>5076.2868640032884</v>
      </c>
      <c r="T51" s="141">
        <v>5196.2398846315145</v>
      </c>
      <c r="U51" s="141">
        <v>5321.2934536091734</v>
      </c>
    </row>
    <row r="52" spans="1:21" x14ac:dyDescent="0.3">
      <c r="A52" s="113" t="s">
        <v>150</v>
      </c>
      <c r="B52" s="141">
        <v>6668.8410411332825</v>
      </c>
      <c r="C52" s="141">
        <v>5975.4324147253237</v>
      </c>
      <c r="D52" s="141">
        <v>5433.6908501944999</v>
      </c>
      <c r="E52" s="141">
        <v>6105.9791553159566</v>
      </c>
      <c r="F52" s="141">
        <v>6241.6064781260675</v>
      </c>
      <c r="G52" s="141">
        <v>5808.4944614425967</v>
      </c>
      <c r="H52" s="141">
        <v>6161.148500042571</v>
      </c>
      <c r="I52" s="141">
        <v>5950.8104575689613</v>
      </c>
      <c r="J52" s="141">
        <v>5473.396967965773</v>
      </c>
      <c r="K52" s="141">
        <v>5400.1504949059999</v>
      </c>
      <c r="L52" s="141">
        <v>5964.4093108737134</v>
      </c>
      <c r="M52" s="141">
        <v>5590.7119933460172</v>
      </c>
      <c r="N52" s="141">
        <v>5008.6235222364658</v>
      </c>
      <c r="O52" s="141">
        <v>4738.9618480512027</v>
      </c>
      <c r="P52" s="141">
        <v>4810.6256888080416</v>
      </c>
      <c r="Q52" s="141">
        <v>4794.9309325524728</v>
      </c>
      <c r="R52" s="141">
        <v>4773.556484895942</v>
      </c>
      <c r="S52" s="141">
        <v>4457.5364967139412</v>
      </c>
      <c r="T52" s="141">
        <v>4553.2073734312489</v>
      </c>
      <c r="U52" s="141">
        <v>4651.8745807222485</v>
      </c>
    </row>
    <row r="53" spans="1:21" x14ac:dyDescent="0.3">
      <c r="A53" s="113" t="s">
        <v>151</v>
      </c>
      <c r="B53" s="141" t="e">
        <v>#VALUE!</v>
      </c>
      <c r="C53" s="141" t="e">
        <v>#VALUE!</v>
      </c>
      <c r="D53" s="141" t="e">
        <v>#VALUE!</v>
      </c>
      <c r="E53" s="141" t="e">
        <v>#VALUE!</v>
      </c>
      <c r="F53" s="141" t="e">
        <v>#VALUE!</v>
      </c>
      <c r="G53" s="141" t="e">
        <v>#VALUE!</v>
      </c>
      <c r="H53" s="141" t="e">
        <v>#VALUE!</v>
      </c>
      <c r="I53" s="141" t="e">
        <v>#VALUE!</v>
      </c>
      <c r="J53" s="141" t="e">
        <v>#VALUE!</v>
      </c>
      <c r="K53" s="141" t="e">
        <v>#VALUE!</v>
      </c>
      <c r="L53" s="141" t="e">
        <v>#VALUE!</v>
      </c>
      <c r="M53" s="141" t="e">
        <v>#VALUE!</v>
      </c>
      <c r="N53" s="141" t="e">
        <v>#VALUE!</v>
      </c>
      <c r="O53" s="141">
        <v>0</v>
      </c>
      <c r="P53" s="141" t="e">
        <v>#VALUE!</v>
      </c>
      <c r="Q53" s="141" t="e">
        <v>#VALUE!</v>
      </c>
      <c r="R53" s="141" t="e">
        <v>#VALUE!</v>
      </c>
      <c r="S53" s="141">
        <v>0</v>
      </c>
      <c r="T53" s="141" t="e">
        <v>#VALUE!</v>
      </c>
      <c r="U53" s="141" t="e">
        <v>#VALUE!</v>
      </c>
    </row>
    <row r="54" spans="1:21" x14ac:dyDescent="0.3">
      <c r="A54" s="113" t="s">
        <v>152</v>
      </c>
      <c r="B54" s="141">
        <v>815.93719867430332</v>
      </c>
      <c r="C54" s="141">
        <v>841.75927321788356</v>
      </c>
      <c r="D54" s="141">
        <v>830.08692066954097</v>
      </c>
      <c r="E54" s="141">
        <v>948.08663660533853</v>
      </c>
      <c r="F54" s="141">
        <v>905.78376801899822</v>
      </c>
      <c r="G54" s="141">
        <v>839.15127991550696</v>
      </c>
      <c r="H54" s="141">
        <v>890.40999301840088</v>
      </c>
      <c r="I54" s="141">
        <v>880.0259767650241</v>
      </c>
      <c r="J54" s="141">
        <v>769.61984557560959</v>
      </c>
      <c r="K54" s="141">
        <v>751.12472090490894</v>
      </c>
      <c r="L54" s="141">
        <v>884.88500615541568</v>
      </c>
      <c r="M54" s="141">
        <v>777.21587004064634</v>
      </c>
      <c r="N54" s="141">
        <v>703.43719543500617</v>
      </c>
      <c r="O54" s="141">
        <v>568.48731655666325</v>
      </c>
      <c r="P54" s="141">
        <v>563.67803105146845</v>
      </c>
      <c r="Q54" s="141">
        <v>624.31745578369248</v>
      </c>
      <c r="R54" s="141">
        <v>604.69911102020251</v>
      </c>
      <c r="S54" s="141">
        <v>567.46029391100274</v>
      </c>
      <c r="T54" s="141">
        <v>382.71602765950223</v>
      </c>
      <c r="U54" s="141">
        <v>397.81185276711062</v>
      </c>
    </row>
    <row r="55" spans="1:21" x14ac:dyDescent="0.3">
      <c r="A55" s="113" t="s">
        <v>153</v>
      </c>
      <c r="B55" s="141" t="e">
        <v>#VALUE!</v>
      </c>
      <c r="C55" s="141">
        <v>0</v>
      </c>
      <c r="D55" s="141" t="e">
        <v>#VALUE!</v>
      </c>
      <c r="E55" s="141" t="e">
        <v>#VALUE!</v>
      </c>
      <c r="F55" s="141" t="e">
        <v>#VALUE!</v>
      </c>
      <c r="G55" s="141">
        <v>0</v>
      </c>
      <c r="H55" s="141" t="e">
        <v>#VALUE!</v>
      </c>
      <c r="I55" s="141" t="e">
        <v>#VALUE!</v>
      </c>
      <c r="J55" s="141" t="e">
        <v>#VALUE!</v>
      </c>
      <c r="K55" s="141">
        <v>0</v>
      </c>
      <c r="L55" s="141" t="e">
        <v>#VALUE!</v>
      </c>
      <c r="M55" s="141" t="e">
        <v>#VALUE!</v>
      </c>
      <c r="N55" s="141" t="e">
        <v>#VALUE!</v>
      </c>
      <c r="O55" s="141">
        <v>0</v>
      </c>
      <c r="P55" s="141" t="e">
        <v>#VALUE!</v>
      </c>
      <c r="Q55" s="141" t="e">
        <v>#VALUE!</v>
      </c>
      <c r="R55" s="141" t="e">
        <v>#VALUE!</v>
      </c>
      <c r="S55" s="141">
        <v>0</v>
      </c>
      <c r="T55" s="141" t="e">
        <v>#VALUE!</v>
      </c>
      <c r="U55" s="141" t="e">
        <v>#VALUE!</v>
      </c>
    </row>
    <row r="56" spans="1:21" x14ac:dyDescent="0.3">
      <c r="A56" s="113" t="s">
        <v>154</v>
      </c>
      <c r="B56" s="141" t="e">
        <v>#VALUE!</v>
      </c>
      <c r="C56" s="141">
        <v>21.998639783307606</v>
      </c>
      <c r="D56" s="141" t="e">
        <v>#VALUE!</v>
      </c>
      <c r="E56" s="141" t="e">
        <v>#VALUE!</v>
      </c>
      <c r="F56" s="141" t="e">
        <v>#VALUE!</v>
      </c>
      <c r="G56" s="141">
        <v>21.080936314831792</v>
      </c>
      <c r="H56" s="141" t="e">
        <v>#VALUE!</v>
      </c>
      <c r="I56" s="141" t="e">
        <v>#VALUE!</v>
      </c>
      <c r="J56" s="141" t="e">
        <v>#VALUE!</v>
      </c>
      <c r="K56" s="141">
        <v>17.536321833662623</v>
      </c>
      <c r="L56" s="141" t="e">
        <v>#VALUE!</v>
      </c>
      <c r="M56" s="141" t="e">
        <v>#VALUE!</v>
      </c>
      <c r="N56" s="141" t="e">
        <v>#VALUE!</v>
      </c>
      <c r="O56" s="141">
        <v>16.231659205220272</v>
      </c>
      <c r="P56" s="141" t="e">
        <v>#VALUE!</v>
      </c>
      <c r="Q56" s="141" t="e">
        <v>#VALUE!</v>
      </c>
      <c r="R56" s="141" t="e">
        <v>#VALUE!</v>
      </c>
      <c r="S56" s="141">
        <v>16.211205131535067</v>
      </c>
      <c r="T56" s="141" t="e">
        <v>#VALUE!</v>
      </c>
      <c r="U56" s="141" t="e">
        <v>#VALUE!</v>
      </c>
    </row>
    <row r="57" spans="1:21" x14ac:dyDescent="0.3">
      <c r="A57" s="113" t="s">
        <v>145</v>
      </c>
      <c r="B57" s="141" t="e">
        <v>#VALUE!</v>
      </c>
      <c r="C57" s="141">
        <v>0</v>
      </c>
      <c r="D57" s="141" t="e">
        <v>#VALUE!</v>
      </c>
      <c r="E57" s="141" t="e">
        <v>#VALUE!</v>
      </c>
      <c r="F57" s="141" t="e">
        <v>#VALUE!</v>
      </c>
      <c r="G57" s="141">
        <v>0</v>
      </c>
      <c r="H57" s="141" t="e">
        <v>#VALUE!</v>
      </c>
      <c r="I57" s="141" t="e">
        <v>#VALUE!</v>
      </c>
      <c r="J57" s="141" t="e">
        <v>#VALUE!</v>
      </c>
      <c r="K57" s="141">
        <v>0</v>
      </c>
      <c r="L57" s="141" t="e">
        <v>#VALUE!</v>
      </c>
      <c r="M57" s="141" t="e">
        <v>#VALUE!</v>
      </c>
      <c r="N57" s="141" t="e">
        <v>#VALUE!</v>
      </c>
      <c r="O57" s="141">
        <v>0</v>
      </c>
      <c r="P57" s="141" t="e">
        <v>#VALUE!</v>
      </c>
      <c r="Q57" s="141" t="e">
        <v>#VALUE!</v>
      </c>
      <c r="R57" s="141" t="e">
        <v>#VALUE!</v>
      </c>
      <c r="S57" s="141">
        <v>0</v>
      </c>
      <c r="T57" s="141" t="e">
        <v>#VALUE!</v>
      </c>
      <c r="U57" s="141" t="e">
        <v>#VALUE!</v>
      </c>
    </row>
    <row r="58" spans="1:21" x14ac:dyDescent="0.3">
      <c r="A58" s="113" t="s">
        <v>155</v>
      </c>
      <c r="B58" s="141">
        <v>129.28477963246382</v>
      </c>
      <c r="C58" s="141">
        <v>129.1901251425376</v>
      </c>
      <c r="D58" s="141">
        <v>125.98522499929935</v>
      </c>
      <c r="E58" s="141">
        <v>168.42617506760013</v>
      </c>
      <c r="F58" s="141">
        <v>149.56707074911637</v>
      </c>
      <c r="G58" s="141">
        <v>122.77091545465916</v>
      </c>
      <c r="H58" s="141">
        <v>142.85179131187002</v>
      </c>
      <c r="I58" s="141">
        <v>181.86759398701858</v>
      </c>
      <c r="J58" s="141">
        <v>150.3170600447414</v>
      </c>
      <c r="K58" s="141">
        <v>139.25394480721255</v>
      </c>
      <c r="L58" s="141">
        <v>126.1531303933419</v>
      </c>
      <c r="M58" s="141">
        <v>106.45567280713274</v>
      </c>
      <c r="N58" s="141">
        <v>116.1440857093578</v>
      </c>
      <c r="O58" s="141">
        <v>89.729218877455992</v>
      </c>
      <c r="P58" s="141">
        <v>87.002318962969468</v>
      </c>
      <c r="Q58" s="141">
        <v>123.57427524429063</v>
      </c>
      <c r="R58" s="141">
        <v>105.17140490786781</v>
      </c>
      <c r="S58" s="141">
        <v>108.57420579691974</v>
      </c>
      <c r="T58" s="141">
        <v>97.696964151625664</v>
      </c>
      <c r="U58" s="141">
        <v>111.0602527296205</v>
      </c>
    </row>
    <row r="59" spans="1:21" x14ac:dyDescent="0.3">
      <c r="A59" s="113" t="s">
        <v>146</v>
      </c>
      <c r="B59" s="141" t="e">
        <v>#VALUE!</v>
      </c>
      <c r="C59" s="141">
        <v>0</v>
      </c>
      <c r="D59" s="141" t="e">
        <v>#VALUE!</v>
      </c>
      <c r="E59" s="141" t="e">
        <v>#VALUE!</v>
      </c>
      <c r="F59" s="141" t="e">
        <v>#VALUE!</v>
      </c>
      <c r="G59" s="141">
        <v>0</v>
      </c>
      <c r="H59" s="141" t="e">
        <v>#VALUE!</v>
      </c>
      <c r="I59" s="141" t="e">
        <v>#VALUE!</v>
      </c>
      <c r="J59" s="141" t="e">
        <v>#VALUE!</v>
      </c>
      <c r="K59" s="141">
        <v>0</v>
      </c>
      <c r="L59" s="141" t="e">
        <v>#VALUE!</v>
      </c>
      <c r="M59" s="141" t="e">
        <v>#VALUE!</v>
      </c>
      <c r="N59" s="141" t="e">
        <v>#VALUE!</v>
      </c>
      <c r="O59" s="141">
        <v>0</v>
      </c>
      <c r="P59" s="141" t="e">
        <v>#VALUE!</v>
      </c>
      <c r="Q59" s="141" t="e">
        <v>#VALUE!</v>
      </c>
      <c r="R59" s="141" t="e">
        <v>#VALUE!</v>
      </c>
      <c r="S59" s="141">
        <v>0</v>
      </c>
      <c r="T59" s="141" t="e">
        <v>#VALUE!</v>
      </c>
      <c r="U59" s="141" t="e">
        <v>#VALUE!</v>
      </c>
    </row>
    <row r="60" spans="1:21" x14ac:dyDescent="0.3">
      <c r="A60" s="113" t="s">
        <v>156</v>
      </c>
      <c r="B60" s="141">
        <v>686.65241904183961</v>
      </c>
      <c r="C60" s="141">
        <v>690.57050829203831</v>
      </c>
      <c r="D60" s="141">
        <v>704.10169567024161</v>
      </c>
      <c r="E60" s="141">
        <v>779.66046153773846</v>
      </c>
      <c r="F60" s="141">
        <v>756.21669726988182</v>
      </c>
      <c r="G60" s="141">
        <v>695.29942814601611</v>
      </c>
      <c r="H60" s="141">
        <v>747.55820170653078</v>
      </c>
      <c r="I60" s="141">
        <v>698.15838277800538</v>
      </c>
      <c r="J60" s="141">
        <v>619.30278553086828</v>
      </c>
      <c r="K60" s="141">
        <v>594.33445426403375</v>
      </c>
      <c r="L60" s="141">
        <v>758.73187576207386</v>
      </c>
      <c r="M60" s="141">
        <v>670.76019723351362</v>
      </c>
      <c r="N60" s="141">
        <v>587.29310972564838</v>
      </c>
      <c r="O60" s="141">
        <v>462.52643847398696</v>
      </c>
      <c r="P60" s="141">
        <v>476.67571208849904</v>
      </c>
      <c r="Q60" s="141">
        <v>500.74318053940186</v>
      </c>
      <c r="R60" s="141">
        <v>499.52770611233473</v>
      </c>
      <c r="S60" s="141">
        <v>442.6748829825479</v>
      </c>
      <c r="T60" s="141">
        <v>285.01906350787658</v>
      </c>
      <c r="U60" s="141">
        <v>286.75160003749011</v>
      </c>
    </row>
    <row r="61" spans="1:21" x14ac:dyDescent="0.3">
      <c r="A61" s="119" t="s">
        <v>157</v>
      </c>
      <c r="B61" s="141">
        <v>8114.9921197285248</v>
      </c>
      <c r="C61" s="141">
        <v>7499.5645899008996</v>
      </c>
      <c r="D61" s="141">
        <v>6876.5283820404084</v>
      </c>
      <c r="E61" s="141">
        <v>7763.0890792808086</v>
      </c>
      <c r="F61" s="141">
        <v>7825.9797379160736</v>
      </c>
      <c r="G61" s="141">
        <v>7295.304110783818</v>
      </c>
      <c r="H61" s="141">
        <v>7756.0641204204067</v>
      </c>
      <c r="I61" s="141">
        <v>7533.8484263706714</v>
      </c>
      <c r="J61" s="141">
        <v>6905.3048503721748</v>
      </c>
      <c r="K61" s="141">
        <v>6819.9878626797872</v>
      </c>
      <c r="L61" s="141">
        <v>7605.8313955150707</v>
      </c>
      <c r="M61" s="141">
        <v>7090.5740187950832</v>
      </c>
      <c r="N61" s="141">
        <v>6374.2984237658229</v>
      </c>
      <c r="O61" s="141">
        <v>5946.4000858451354</v>
      </c>
      <c r="P61" s="141">
        <v>6001.837338055253</v>
      </c>
      <c r="Q61" s="141">
        <v>6058.2160249431281</v>
      </c>
      <c r="R61" s="141">
        <v>6027.7364285822778</v>
      </c>
      <c r="S61" s="141">
        <v>5643.7471579142912</v>
      </c>
      <c r="T61" s="141">
        <v>5578.9559122910168</v>
      </c>
      <c r="U61" s="141">
        <v>5719.1053063762838</v>
      </c>
    </row>
    <row r="62" spans="1:21" x14ac:dyDescent="0.3">
      <c r="A62" s="119" t="s">
        <v>158</v>
      </c>
      <c r="B62" s="141">
        <v>10036.867697078393</v>
      </c>
      <c r="C62" s="141">
        <v>9832.3543114506083</v>
      </c>
      <c r="D62" s="141">
        <v>8895.5005945010907</v>
      </c>
      <c r="E62" s="141">
        <v>9776.3546051833182</v>
      </c>
      <c r="F62" s="141">
        <v>9163.0035858401297</v>
      </c>
      <c r="G62" s="141">
        <v>8584.7701933011704</v>
      </c>
      <c r="H62" s="141">
        <v>9021.139880582974</v>
      </c>
      <c r="I62" s="141">
        <v>8543.2088145581729</v>
      </c>
      <c r="J62" s="141">
        <v>7997.2703075288773</v>
      </c>
      <c r="K62" s="141">
        <v>7887.4574631653486</v>
      </c>
      <c r="L62" s="141">
        <v>9022.7161762112428</v>
      </c>
      <c r="M62" s="141">
        <v>8439.9667655369249</v>
      </c>
      <c r="N62" s="141">
        <v>7757.607347970169</v>
      </c>
      <c r="O62" s="141">
        <v>7652.9997686369852</v>
      </c>
      <c r="P62" s="141">
        <v>7316.4982236688393</v>
      </c>
      <c r="Q62" s="141">
        <v>7121.8924036167182</v>
      </c>
      <c r="R62" s="141">
        <v>7030.5114952107615</v>
      </c>
      <c r="S62" s="141">
        <v>6586.9940850634403</v>
      </c>
      <c r="T62" s="141">
        <v>6387.3217474401881</v>
      </c>
      <c r="U62" s="141">
        <v>6353.1868261219652</v>
      </c>
    </row>
    <row r="63" spans="1:21" x14ac:dyDescent="0.3">
      <c r="A63" s="113" t="s">
        <v>159</v>
      </c>
      <c r="B63" s="141">
        <v>0</v>
      </c>
      <c r="C63" s="141">
        <v>0</v>
      </c>
      <c r="D63" s="141">
        <v>0</v>
      </c>
      <c r="E63" s="141">
        <v>0</v>
      </c>
      <c r="F63" s="141">
        <v>0</v>
      </c>
      <c r="G63" s="141">
        <v>0</v>
      </c>
      <c r="H63" s="141">
        <v>0</v>
      </c>
      <c r="I63" s="141">
        <v>0</v>
      </c>
      <c r="J63" s="141">
        <v>0</v>
      </c>
      <c r="K63" s="141">
        <v>0</v>
      </c>
      <c r="L63" s="141">
        <v>0</v>
      </c>
      <c r="M63" s="141">
        <v>0</v>
      </c>
      <c r="N63" s="141">
        <v>0</v>
      </c>
      <c r="O63" s="141">
        <v>0</v>
      </c>
      <c r="P63" s="141">
        <v>0</v>
      </c>
      <c r="Q63" s="141">
        <v>0</v>
      </c>
      <c r="R63" s="141">
        <v>0</v>
      </c>
      <c r="S63" s="141">
        <v>0</v>
      </c>
      <c r="T63" s="141">
        <v>0</v>
      </c>
      <c r="U63" s="141">
        <v>0</v>
      </c>
    </row>
    <row r="64" spans="1:21" x14ac:dyDescent="0.3">
      <c r="A64" s="113" t="s">
        <v>160</v>
      </c>
      <c r="B64" s="141">
        <v>5378.7608088986362</v>
      </c>
      <c r="C64" s="141">
        <v>5224.4694141979771</v>
      </c>
      <c r="D64" s="141">
        <v>4357.2013658746446</v>
      </c>
      <c r="E64" s="141">
        <v>4524.2791875683997</v>
      </c>
      <c r="F64" s="141">
        <v>3542.3149738059569</v>
      </c>
      <c r="G64" s="141">
        <v>3288.9975353571926</v>
      </c>
      <c r="H64" s="141">
        <v>3471.2000104016747</v>
      </c>
      <c r="I64" s="141">
        <v>3353.3681537030798</v>
      </c>
      <c r="J64" s="141">
        <v>3069.8122949731264</v>
      </c>
      <c r="K64" s="141">
        <v>3022.2079770969799</v>
      </c>
      <c r="L64" s="141">
        <v>3327.2172446479972</v>
      </c>
      <c r="M64" s="141">
        <v>3114.4993687229635</v>
      </c>
      <c r="N64" s="141">
        <v>2787.0572837819732</v>
      </c>
      <c r="O64" s="141">
        <v>2626.5706851288451</v>
      </c>
      <c r="P64" s="141">
        <v>2549.079767589029</v>
      </c>
      <c r="Q64" s="141">
        <v>2537.1915658781832</v>
      </c>
      <c r="R64" s="141">
        <v>2514.9969177794774</v>
      </c>
      <c r="S64" s="141">
        <v>2350.1479439216573</v>
      </c>
      <c r="T64" s="141">
        <v>2389.8876309028374</v>
      </c>
      <c r="U64" s="141">
        <v>2436.6420365199069</v>
      </c>
    </row>
    <row r="65" spans="1:21" x14ac:dyDescent="0.3">
      <c r="A65" s="113" t="s">
        <v>161</v>
      </c>
      <c r="B65" s="141">
        <v>8.6980585685449654</v>
      </c>
      <c r="C65" s="141">
        <v>9.1315108534484413</v>
      </c>
      <c r="D65" s="141">
        <v>8.3046440448976355</v>
      </c>
      <c r="E65" s="141">
        <v>8.2855496198242573</v>
      </c>
      <c r="F65" s="141">
        <v>8.7804551206952919</v>
      </c>
      <c r="G65" s="141">
        <v>8.1723453555295063</v>
      </c>
      <c r="H65" s="141">
        <v>8.6696259554790078</v>
      </c>
      <c r="I65" s="141">
        <v>8.3748551914482672</v>
      </c>
      <c r="J65" s="141">
        <v>7.7040776260554722</v>
      </c>
      <c r="K65" s="141">
        <v>7.6019523219818268</v>
      </c>
      <c r="L65" s="141">
        <v>8.3974852304191288</v>
      </c>
      <c r="M65" s="141">
        <v>7.8723522748131787</v>
      </c>
      <c r="N65" s="141">
        <v>7.0536090699955043</v>
      </c>
      <c r="O65" s="141">
        <v>6.6747009815859073</v>
      </c>
      <c r="P65" s="141">
        <v>6.4663885715720548</v>
      </c>
      <c r="Q65" s="141">
        <v>6.4460795622392286</v>
      </c>
      <c r="R65" s="141">
        <v>6.4182272065827801</v>
      </c>
      <c r="S65" s="141">
        <v>5.9940590402314546</v>
      </c>
      <c r="T65" s="141">
        <v>6.1234564425520368</v>
      </c>
      <c r="U65" s="141">
        <v>6.2569156467391842</v>
      </c>
    </row>
    <row r="66" spans="1:21" x14ac:dyDescent="0.3">
      <c r="A66" s="113" t="s">
        <v>162</v>
      </c>
      <c r="B66" s="141">
        <v>5370.0627503300911</v>
      </c>
      <c r="C66" s="141">
        <v>5215.3379033445299</v>
      </c>
      <c r="D66" s="141">
        <v>4348.8967218297466</v>
      </c>
      <c r="E66" s="141">
        <v>4515.9936379485744</v>
      </c>
      <c r="F66" s="141">
        <v>3533.5345186852624</v>
      </c>
      <c r="G66" s="141">
        <v>3280.8251900016635</v>
      </c>
      <c r="H66" s="141">
        <v>3462.5303844461951</v>
      </c>
      <c r="I66" s="141">
        <v>3344.9932985116325</v>
      </c>
      <c r="J66" s="141">
        <v>3062.1082173470704</v>
      </c>
      <c r="K66" s="141">
        <v>3014.6060247749979</v>
      </c>
      <c r="L66" s="141">
        <v>3318.8197594175781</v>
      </c>
      <c r="M66" s="141">
        <v>3106.6270164481502</v>
      </c>
      <c r="N66" s="141">
        <v>2780.003674711978</v>
      </c>
      <c r="O66" s="141">
        <v>2619.8959841472592</v>
      </c>
      <c r="P66" s="141">
        <v>2542.6133790174567</v>
      </c>
      <c r="Q66" s="141">
        <v>2530.7454863159442</v>
      </c>
      <c r="R66" s="141">
        <v>2508.5786905728942</v>
      </c>
      <c r="S66" s="141">
        <v>2344.1538848814262</v>
      </c>
      <c r="T66" s="141">
        <v>2383.7641744602852</v>
      </c>
      <c r="U66" s="141">
        <v>2430.385120873168</v>
      </c>
    </row>
    <row r="67" spans="1:21" x14ac:dyDescent="0.3">
      <c r="A67" s="113" t="s">
        <v>163</v>
      </c>
      <c r="B67" s="141">
        <v>2524.5126579455336</v>
      </c>
      <c r="C67" s="141">
        <v>2802.4399274895686</v>
      </c>
      <c r="D67" s="141">
        <v>2671.6417376255918</v>
      </c>
      <c r="E67" s="141">
        <v>3124.793431890198</v>
      </c>
      <c r="F67" s="141">
        <v>3150.1878303476333</v>
      </c>
      <c r="G67" s="141">
        <v>2924.3994914275472</v>
      </c>
      <c r="H67" s="141">
        <v>3084.7120260454908</v>
      </c>
      <c r="I67" s="141">
        <v>2980.4967600656455</v>
      </c>
      <c r="J67" s="141">
        <v>2727.1559332869774</v>
      </c>
      <c r="K67" s="141">
        <v>2684.5257995216734</v>
      </c>
      <c r="L67" s="141">
        <v>2954.6742635166761</v>
      </c>
      <c r="M67" s="141">
        <v>2765.6110292710155</v>
      </c>
      <c r="N67" s="141">
        <v>2474.935082434672</v>
      </c>
      <c r="O67" s="141">
        <v>2331.5944110676223</v>
      </c>
      <c r="P67" s="141">
        <v>2263.8238535567257</v>
      </c>
      <c r="Q67" s="141">
        <v>2253.0513088108428</v>
      </c>
      <c r="R67" s="141">
        <v>2232.6678550899096</v>
      </c>
      <c r="S67" s="141">
        <v>2086.6818033805748</v>
      </c>
      <c r="T67" s="141">
        <v>2120.9426405566596</v>
      </c>
      <c r="U67" s="141">
        <v>2162.5464704042306</v>
      </c>
    </row>
    <row r="68" spans="1:21" x14ac:dyDescent="0.3">
      <c r="A68" s="113" t="s">
        <v>164</v>
      </c>
      <c r="B68" s="141">
        <v>6605.384750212761</v>
      </c>
      <c r="C68" s="141">
        <v>7097.2592765052232</v>
      </c>
      <c r="D68" s="141">
        <v>6740.8229486703767</v>
      </c>
      <c r="E68" s="141" t="e">
        <v>#VALUE!</v>
      </c>
      <c r="F68" s="141">
        <v>7140.8049048045432</v>
      </c>
      <c r="G68" s="141">
        <v>6531.839892967816</v>
      </c>
      <c r="H68" s="141">
        <v>7252.4376671884911</v>
      </c>
      <c r="I68" s="141">
        <v>7153.6490344407184</v>
      </c>
      <c r="J68" s="141">
        <v>6778.1875695422586</v>
      </c>
      <c r="K68" s="141">
        <v>6653.6951556364347</v>
      </c>
      <c r="L68" s="141">
        <v>6857.7872282280759</v>
      </c>
      <c r="M68" s="141">
        <v>6483.3293910515395</v>
      </c>
      <c r="N68" s="141">
        <v>6237.0736654950024</v>
      </c>
      <c r="O68" s="141">
        <v>5893.2300246168206</v>
      </c>
      <c r="P68" s="141">
        <v>5665.2912055802526</v>
      </c>
      <c r="Q68" s="141">
        <v>5521.6531522908299</v>
      </c>
      <c r="R68" s="141">
        <v>5212.183966945815</v>
      </c>
      <c r="S68" s="141">
        <v>4663.3779333000712</v>
      </c>
      <c r="T68" s="141">
        <v>4622.3745973391669</v>
      </c>
      <c r="U68" s="141">
        <v>4583.2618125506197</v>
      </c>
    </row>
    <row r="69" spans="1:21" x14ac:dyDescent="0.3">
      <c r="A69" s="113" t="s">
        <v>165</v>
      </c>
      <c r="B69" s="141">
        <v>-2.1745146421362413</v>
      </c>
      <c r="C69" s="141">
        <v>-2.2828777133621103</v>
      </c>
      <c r="D69" s="141">
        <v>-7.5496764044523959</v>
      </c>
      <c r="E69" s="141">
        <v>7607.7085084533301</v>
      </c>
      <c r="F69" s="141">
        <v>-7.9822319279048095</v>
      </c>
      <c r="G69" s="141">
        <v>-7.4294048686631875</v>
      </c>
      <c r="H69" s="141">
        <v>-8.8666629090126214</v>
      </c>
      <c r="I69" s="141">
        <v>-8.5651928094357253</v>
      </c>
      <c r="J69" s="141">
        <v>-7.8791702993749135</v>
      </c>
      <c r="K69" s="141">
        <v>-7.7747239656632319</v>
      </c>
      <c r="L69" s="141">
        <v>-9.6380228212765005</v>
      </c>
      <c r="M69" s="141">
        <v>-9.0353134063196698</v>
      </c>
      <c r="N69" s="141">
        <v>-8.015464852267618</v>
      </c>
      <c r="O69" s="141">
        <v>-7.1297942303304014</v>
      </c>
      <c r="P69" s="141">
        <v>-1.4696337662663759</v>
      </c>
      <c r="Q69" s="141">
        <v>-6.1530759457738089</v>
      </c>
      <c r="R69" s="141">
        <v>-6.1264896062835623</v>
      </c>
      <c r="S69" s="141">
        <v>-5.7216018111300242</v>
      </c>
      <c r="T69" s="141">
        <v>-7.0280579624744961</v>
      </c>
      <c r="U69" s="141">
        <v>-7.1812327309165624</v>
      </c>
    </row>
    <row r="70" spans="1:21" x14ac:dyDescent="0.3">
      <c r="A70" s="119" t="s">
        <v>166</v>
      </c>
      <c r="B70" s="141">
        <v>9457.4583865237255</v>
      </c>
      <c r="C70" s="141">
        <v>9517.0058855002699</v>
      </c>
      <c r="D70" s="141">
        <v>8418.8329005149772</v>
      </c>
      <c r="E70" s="141">
        <v>9007.1942641315309</v>
      </c>
      <c r="F70" s="141">
        <v>7524.9498163349635</v>
      </c>
      <c r="G70" s="141">
        <v>6889.008532028799</v>
      </c>
      <c r="H70" s="141">
        <v>7630.0589886356611</v>
      </c>
      <c r="I70" s="141">
        <v>7517.9552352687178</v>
      </c>
      <c r="J70" s="141">
        <v>7112.9647609290332</v>
      </c>
      <c r="K70" s="141">
        <v>6983.6026092460779</v>
      </c>
      <c r="L70" s="141">
        <v>7220.6921865381219</v>
      </c>
      <c r="M70" s="141">
        <v>6823.1824170971668</v>
      </c>
      <c r="N70" s="141">
        <v>6541.1804019900355</v>
      </c>
      <c r="O70" s="141">
        <v>6181.0765044477121</v>
      </c>
      <c r="P70" s="141">
        <v>5949.0774858462901</v>
      </c>
      <c r="Q70" s="141">
        <v>5799.6403334123961</v>
      </c>
      <c r="R70" s="141">
        <v>5488.3865400290988</v>
      </c>
      <c r="S70" s="141">
        <v>4921.1224720300233</v>
      </c>
      <c r="T70" s="141">
        <v>4884.2915297228692</v>
      </c>
      <c r="U70" s="141">
        <v>4850.1761459353793</v>
      </c>
    </row>
    <row r="71" spans="1:21" x14ac:dyDescent="0.3">
      <c r="A71" s="113" t="s">
        <v>167</v>
      </c>
      <c r="B71" s="141">
        <v>67.607637055508604</v>
      </c>
      <c r="C71" s="141">
        <v>69.108934413598419</v>
      </c>
      <c r="D71" s="141">
        <v>64.549733258067988</v>
      </c>
      <c r="E71" s="141">
        <v>71.803854232219948</v>
      </c>
      <c r="F71" s="141">
        <v>64.057411221436112</v>
      </c>
      <c r="G71" s="141">
        <v>58.599430901580895</v>
      </c>
      <c r="H71" s="141">
        <v>62.460714270155577</v>
      </c>
      <c r="I71" s="141">
        <v>59.95634966605008</v>
      </c>
      <c r="J71" s="141">
        <v>55.679470115582724</v>
      </c>
      <c r="K71" s="141">
        <v>54.163910294120512</v>
      </c>
      <c r="L71" s="141">
        <v>58.400692738823935</v>
      </c>
      <c r="M71" s="141">
        <v>53.496212049298634</v>
      </c>
      <c r="N71" s="141">
        <v>48.012634465083032</v>
      </c>
      <c r="O71" s="141">
        <v>44.447440627378874</v>
      </c>
      <c r="P71" s="141">
        <v>42.178489091844988</v>
      </c>
      <c r="Q71" s="141">
        <v>40.507749976344236</v>
      </c>
      <c r="R71" s="141">
        <v>38.801100839795893</v>
      </c>
      <c r="S71" s="141">
        <v>34.874525324983004</v>
      </c>
      <c r="T71" s="141">
        <v>34.792366150863842</v>
      </c>
      <c r="U71" s="141">
        <v>34.199732114563041</v>
      </c>
    </row>
    <row r="72" spans="1:21" x14ac:dyDescent="0.3">
      <c r="A72" s="119" t="s">
        <v>168</v>
      </c>
      <c r="B72" s="141">
        <v>9525.0660235792329</v>
      </c>
      <c r="C72" s="141">
        <v>9586.1148199138679</v>
      </c>
      <c r="D72" s="141">
        <v>8483.3826337730443</v>
      </c>
      <c r="E72" s="141">
        <v>9078.9981183637519</v>
      </c>
      <c r="F72" s="141">
        <v>7589.0072275563989</v>
      </c>
      <c r="G72" s="141">
        <v>6947.6079629303804</v>
      </c>
      <c r="H72" s="141">
        <v>7692.5197029058154</v>
      </c>
      <c r="I72" s="141">
        <v>7577.9115849347681</v>
      </c>
      <c r="J72" s="141">
        <v>7168.6442310446155</v>
      </c>
      <c r="K72" s="141">
        <v>7037.7665195401987</v>
      </c>
      <c r="L72" s="141">
        <v>7279.0928792769446</v>
      </c>
      <c r="M72" s="141">
        <v>6876.678629146465</v>
      </c>
      <c r="N72" s="141">
        <v>6589.1930364551172</v>
      </c>
      <c r="O72" s="141">
        <v>6225.5239450750914</v>
      </c>
      <c r="P72" s="141">
        <v>5991.2559749381344</v>
      </c>
      <c r="Q72" s="141">
        <v>5840.1480833887408</v>
      </c>
      <c r="R72" s="141">
        <v>5527.187640868895</v>
      </c>
      <c r="S72" s="141">
        <v>4955.9969973550051</v>
      </c>
      <c r="T72" s="141">
        <v>4919.0838958737331</v>
      </c>
      <c r="U72" s="141">
        <v>4884.3758780499429</v>
      </c>
    </row>
    <row r="73" spans="1:21" x14ac:dyDescent="0.3">
      <c r="A73" s="119" t="s">
        <v>169</v>
      </c>
      <c r="B73" s="141">
        <v>19561.933720657627</v>
      </c>
      <c r="C73" s="141">
        <v>19418.469131364476</v>
      </c>
      <c r="D73" s="141">
        <v>17378.883228274135</v>
      </c>
      <c r="E73" s="141">
        <v>18855.352723547068</v>
      </c>
      <c r="F73" s="141">
        <v>16752.010813396526</v>
      </c>
      <c r="G73" s="141">
        <v>15532.378156231553</v>
      </c>
      <c r="H73" s="141">
        <v>16713.659583488792</v>
      </c>
      <c r="I73" s="141">
        <v>16121.120399492942</v>
      </c>
      <c r="J73" s="141">
        <v>15165.914538573494</v>
      </c>
      <c r="K73" s="141">
        <v>14925.223982705549</v>
      </c>
      <c r="L73" s="141">
        <v>16301.809055488186</v>
      </c>
      <c r="M73" s="141">
        <v>15316.64539468339</v>
      </c>
      <c r="N73" s="141">
        <v>14346.800384425287</v>
      </c>
      <c r="O73" s="141">
        <v>13878.523713712077</v>
      </c>
      <c r="P73" s="141">
        <v>13307.754198606974</v>
      </c>
      <c r="Q73" s="141">
        <v>12962.040487005459</v>
      </c>
      <c r="R73" s="141">
        <v>12557.699136079656</v>
      </c>
      <c r="S73" s="141">
        <v>11542.991082418446</v>
      </c>
      <c r="T73" s="141">
        <v>11306.405643313923</v>
      </c>
      <c r="U73" s="141">
        <v>11237.562704171909</v>
      </c>
    </row>
    <row r="74" spans="1:21" x14ac:dyDescent="0.3">
      <c r="A74" s="119"/>
      <c r="B74" s="141" t="e">
        <v>#VALUE!</v>
      </c>
      <c r="C74" s="141" t="e">
        <v>#VALUE!</v>
      </c>
      <c r="D74" s="141" t="e">
        <v>#VALUE!</v>
      </c>
      <c r="E74" s="141" t="e">
        <v>#VALUE!</v>
      </c>
      <c r="F74" s="141" t="e">
        <v>#VALUE!</v>
      </c>
      <c r="G74" s="141" t="e">
        <v>#VALUE!</v>
      </c>
      <c r="H74" s="141" t="e">
        <v>#VALUE!</v>
      </c>
      <c r="I74" s="141" t="e">
        <v>#VALUE!</v>
      </c>
      <c r="J74" s="141" t="e">
        <v>#VALUE!</v>
      </c>
      <c r="K74" s="141" t="e">
        <v>#VALUE!</v>
      </c>
      <c r="L74" s="141" t="e">
        <v>#VALUE!</v>
      </c>
      <c r="M74" s="141" t="e">
        <v>#VALUE!</v>
      </c>
      <c r="N74" s="141" t="e">
        <v>#VALUE!</v>
      </c>
      <c r="O74" s="141" t="e">
        <v>#VALUE!</v>
      </c>
      <c r="P74" s="141" t="e">
        <v>#VALUE!</v>
      </c>
      <c r="Q74" s="141" t="e">
        <v>#VALUE!</v>
      </c>
      <c r="R74" s="141" t="e">
        <v>#VALUE!</v>
      </c>
      <c r="S74" s="141" t="e">
        <v>#VALUE!</v>
      </c>
      <c r="T74" s="141" t="e">
        <v>#VALUE!</v>
      </c>
      <c r="U74" s="141" t="e">
        <v>#VALUE!</v>
      </c>
    </row>
    <row r="75" spans="1:21" x14ac:dyDescent="0.3">
      <c r="A75" s="119" t="s">
        <v>87</v>
      </c>
      <c r="B75" s="141" t="e">
        <v>#VALUE!</v>
      </c>
      <c r="C75" s="141" t="e">
        <v>#VALUE!</v>
      </c>
      <c r="D75" s="141" t="e">
        <v>#VALUE!</v>
      </c>
      <c r="E75" s="141" t="e">
        <v>#VALUE!</v>
      </c>
      <c r="F75" s="141" t="e">
        <v>#VALUE!</v>
      </c>
      <c r="G75" s="141" t="e">
        <v>#VALUE!</v>
      </c>
      <c r="H75" s="141" t="e">
        <v>#VALUE!</v>
      </c>
      <c r="I75" s="141" t="e">
        <v>#VALUE!</v>
      </c>
      <c r="J75" s="141" t="e">
        <v>#VALUE!</v>
      </c>
      <c r="K75" s="141" t="e">
        <v>#VALUE!</v>
      </c>
      <c r="L75" s="141" t="e">
        <v>#VALUE!</v>
      </c>
      <c r="M75" s="141" t="e">
        <v>#VALUE!</v>
      </c>
      <c r="N75" s="141" t="e">
        <v>#VALUE!</v>
      </c>
      <c r="O75" s="141" t="e">
        <v>#VALUE!</v>
      </c>
      <c r="P75" s="141" t="e">
        <v>#VALUE!</v>
      </c>
      <c r="Q75" s="141" t="e">
        <v>#VALUE!</v>
      </c>
      <c r="R75" s="141" t="e">
        <v>#VALUE!</v>
      </c>
      <c r="S75" s="141" t="e">
        <v>#VALUE!</v>
      </c>
      <c r="T75" s="141" t="e">
        <v>#VALUE!</v>
      </c>
      <c r="U75" s="141" t="e">
        <v>#VALUE!</v>
      </c>
    </row>
    <row r="76" spans="1:21" x14ac:dyDescent="0.3">
      <c r="A76" s="119" t="s">
        <v>88</v>
      </c>
      <c r="B76" s="141" t="e">
        <v>#VALUE!</v>
      </c>
      <c r="C76" s="141" t="e">
        <v>#VALUE!</v>
      </c>
      <c r="D76" s="141" t="e">
        <v>#VALUE!</v>
      </c>
      <c r="E76" s="141" t="e">
        <v>#VALUE!</v>
      </c>
      <c r="F76" s="141" t="e">
        <v>#VALUE!</v>
      </c>
      <c r="G76" s="141" t="e">
        <v>#VALUE!</v>
      </c>
      <c r="H76" s="141" t="e">
        <v>#VALUE!</v>
      </c>
      <c r="I76" s="141" t="e">
        <v>#VALUE!</v>
      </c>
      <c r="J76" s="141" t="e">
        <v>#VALUE!</v>
      </c>
      <c r="K76" s="141" t="e">
        <v>#VALUE!</v>
      </c>
      <c r="L76" s="141" t="e">
        <v>#VALUE!</v>
      </c>
      <c r="M76" s="141" t="e">
        <v>#VALUE!</v>
      </c>
      <c r="N76" s="141" t="e">
        <v>#VALUE!</v>
      </c>
      <c r="O76" s="141" t="e">
        <v>#VALUE!</v>
      </c>
      <c r="P76" s="141" t="e">
        <v>#VALUE!</v>
      </c>
      <c r="Q76" s="141" t="e">
        <v>#VALUE!</v>
      </c>
      <c r="R76" s="141" t="e">
        <v>#VALUE!</v>
      </c>
      <c r="S76" s="141" t="e">
        <v>#VALUE!</v>
      </c>
      <c r="T76" s="141" t="e">
        <v>#VALUE!</v>
      </c>
      <c r="U76" s="141" t="e">
        <v>#VALUE!</v>
      </c>
    </row>
    <row r="77" spans="1:21" x14ac:dyDescent="0.3">
      <c r="A77" s="119" t="s">
        <v>170</v>
      </c>
      <c r="B77" s="141">
        <v>5.2773471773500873</v>
      </c>
      <c r="C77" s="141">
        <v>5.2347083430733097</v>
      </c>
      <c r="D77" s="141">
        <v>5.2840368162419331</v>
      </c>
      <c r="E77" s="141">
        <v>5.3020893375768923</v>
      </c>
      <c r="F77" s="141">
        <v>5.3016837399593619</v>
      </c>
      <c r="G77" s="141">
        <v>5.3016837399593619</v>
      </c>
      <c r="H77" s="141">
        <v>5.301765915714447</v>
      </c>
      <c r="I77" s="141">
        <v>5.3016837399593619</v>
      </c>
      <c r="J77" s="141">
        <v>5.3016837399593619</v>
      </c>
      <c r="K77" s="141">
        <v>5.3016837399593619</v>
      </c>
      <c r="L77" s="141">
        <v>5.3016837399593619</v>
      </c>
      <c r="M77" s="141">
        <v>5.3016837399593619</v>
      </c>
      <c r="N77" s="141">
        <v>5.3016837399593619</v>
      </c>
      <c r="O77" s="141">
        <v>5.3016837399593619</v>
      </c>
      <c r="P77" s="141">
        <v>5.3016837399593619</v>
      </c>
      <c r="Q77" s="141">
        <v>5.3016837399593619</v>
      </c>
      <c r="R77" s="141">
        <v>5.3016837399593619</v>
      </c>
      <c r="S77" s="141">
        <v>5.301443720646339</v>
      </c>
      <c r="T77" s="141">
        <v>5.3016837399593619</v>
      </c>
      <c r="U77" s="141">
        <v>5.3016837399593619</v>
      </c>
    </row>
    <row r="78" spans="1:21" x14ac:dyDescent="0.3">
      <c r="A78" s="119" t="s">
        <v>171</v>
      </c>
      <c r="B78" s="141">
        <v>0.61330432180939176</v>
      </c>
      <c r="C78" s="141">
        <v>0.69894491203003439</v>
      </c>
      <c r="D78" s="141">
        <v>0.68640508904305109</v>
      </c>
      <c r="E78" s="141" t="e">
        <v>#VALUE!</v>
      </c>
      <c r="F78" s="141">
        <v>0.76451511857944021</v>
      </c>
      <c r="G78" s="141">
        <v>0.7646329543467455</v>
      </c>
      <c r="H78" s="141">
        <v>0.76455077859166076</v>
      </c>
      <c r="I78" s="141">
        <v>0.7646329543467455</v>
      </c>
      <c r="J78" s="141">
        <v>0.76459466783747088</v>
      </c>
      <c r="K78" s="141">
        <v>0.7646329543467455</v>
      </c>
      <c r="L78" s="141">
        <v>0.7646358140054178</v>
      </c>
      <c r="M78" s="141">
        <v>0.76465775862832286</v>
      </c>
      <c r="N78" s="141">
        <v>0.76467421709550165</v>
      </c>
      <c r="O78" s="141">
        <v>0.7646961617184066</v>
      </c>
      <c r="P78" s="141">
        <v>0.76473456480849022</v>
      </c>
      <c r="Q78" s="141">
        <v>0.76473456480849022</v>
      </c>
      <c r="R78" s="141">
        <v>0.76478942636575287</v>
      </c>
      <c r="S78" s="141">
        <v>0.76478942636575287</v>
      </c>
      <c r="T78" s="141">
        <v>0.76478942636575287</v>
      </c>
      <c r="U78" s="141">
        <v>0.76488817716882551</v>
      </c>
    </row>
    <row r="79" spans="1:21" x14ac:dyDescent="0.3">
      <c r="A79" s="119" t="s">
        <v>172</v>
      </c>
      <c r="B79" s="141" t="e">
        <v>#VALUE!</v>
      </c>
      <c r="C79" s="141">
        <v>21.998639783307606</v>
      </c>
      <c r="D79" s="141" t="e">
        <v>#VALUE!</v>
      </c>
      <c r="E79" s="141" t="e">
        <v>#VALUE!</v>
      </c>
      <c r="F79" s="141" t="e">
        <v>#VALUE!</v>
      </c>
      <c r="G79" s="141">
        <v>21.080936314831792</v>
      </c>
      <c r="H79" s="141" t="e">
        <v>#VALUE!</v>
      </c>
      <c r="I79" s="141" t="e">
        <v>#VALUE!</v>
      </c>
      <c r="J79" s="141" t="e">
        <v>#VALUE!</v>
      </c>
      <c r="K79" s="141">
        <v>17.536321833662623</v>
      </c>
      <c r="L79" s="141" t="e">
        <v>#VALUE!</v>
      </c>
      <c r="M79" s="141" t="e">
        <v>#VALUE!</v>
      </c>
      <c r="N79" s="141" t="e">
        <v>#VALUE!</v>
      </c>
      <c r="O79" s="141">
        <v>16.231659205220272</v>
      </c>
      <c r="P79" s="141" t="e">
        <v>#VALUE!</v>
      </c>
      <c r="Q79" s="141" t="e">
        <v>#VALUE!</v>
      </c>
      <c r="R79" s="141" t="e">
        <v>#VALUE!</v>
      </c>
      <c r="S79" s="141">
        <v>16.211205131535067</v>
      </c>
      <c r="T79" s="141" t="e">
        <v>#VALUE!</v>
      </c>
      <c r="U79" s="141" t="e">
        <v>#VALUE!</v>
      </c>
    </row>
    <row r="80" spans="1:21" x14ac:dyDescent="0.3">
      <c r="A80" s="119" t="s">
        <v>173</v>
      </c>
      <c r="B80" s="141">
        <v>849.93870035134262</v>
      </c>
      <c r="C80" s="141">
        <v>920.82985583524385</v>
      </c>
      <c r="D80" s="141">
        <v>826.02896960214775</v>
      </c>
      <c r="E80" s="141" t="e">
        <v>#VALUE!</v>
      </c>
      <c r="F80" s="141">
        <v>924.04312355408058</v>
      </c>
      <c r="G80" s="141">
        <v>882.14896059289515</v>
      </c>
      <c r="H80" s="141">
        <v>955.72774311479384</v>
      </c>
      <c r="I80" s="141">
        <v>958.73058180283897</v>
      </c>
      <c r="J80" s="141">
        <v>906.80495512139282</v>
      </c>
      <c r="K80" s="141">
        <v>919.40430185059745</v>
      </c>
      <c r="L80" s="141">
        <v>1042.4332801943019</v>
      </c>
      <c r="M80" s="141">
        <v>996.21039695817649</v>
      </c>
      <c r="N80" s="141">
        <v>914.48438499521251</v>
      </c>
      <c r="O80" s="141">
        <v>884.85297330887704</v>
      </c>
      <c r="P80" s="141">
        <v>871.56630508427429</v>
      </c>
      <c r="Q80" s="141">
        <v>889.77873230136254</v>
      </c>
      <c r="R80" s="141">
        <v>906.79339613004197</v>
      </c>
      <c r="S80" s="141">
        <v>866.48210284982179</v>
      </c>
      <c r="T80" s="141">
        <v>903.48816420563219</v>
      </c>
      <c r="U80" s="141">
        <v>943.51443900260188</v>
      </c>
    </row>
    <row r="81" spans="1:21" x14ac:dyDescent="0.3">
      <c r="A81" s="119" t="s">
        <v>174</v>
      </c>
      <c r="B81" s="141" t="e">
        <v>#VALUE!</v>
      </c>
      <c r="C81" s="141" t="e">
        <v>#VALUE!</v>
      </c>
      <c r="D81" s="141" t="e">
        <v>#VALUE!</v>
      </c>
      <c r="E81" s="141" t="e">
        <v>#VALUE!</v>
      </c>
      <c r="F81" s="141" t="e">
        <v>#VALUE!</v>
      </c>
      <c r="G81" s="141" t="e">
        <v>#VALUE!</v>
      </c>
      <c r="H81" s="141" t="e">
        <v>#VALUE!</v>
      </c>
      <c r="I81" s="141" t="e">
        <v>#VALUE!</v>
      </c>
      <c r="J81" s="141" t="e">
        <v>#VALUE!</v>
      </c>
      <c r="K81" s="141" t="e">
        <v>#VALUE!</v>
      </c>
      <c r="L81" s="141" t="e">
        <v>#VALUE!</v>
      </c>
      <c r="M81" s="141" t="e">
        <v>#VALUE!</v>
      </c>
      <c r="N81" s="141" t="e">
        <v>#VALUE!</v>
      </c>
      <c r="O81" s="141">
        <v>0</v>
      </c>
      <c r="P81" s="141" t="e">
        <v>#VALUE!</v>
      </c>
      <c r="Q81" s="141" t="e">
        <v>#VALUE!</v>
      </c>
      <c r="R81" s="141" t="e">
        <v>#VALUE!</v>
      </c>
      <c r="S81" s="141">
        <v>0</v>
      </c>
      <c r="T81" s="141" t="e">
        <v>#VALUE!</v>
      </c>
      <c r="U81" s="141" t="e">
        <v>#VALUE!</v>
      </c>
    </row>
    <row r="82" spans="1:21" x14ac:dyDescent="0.3">
      <c r="A82" s="119" t="s">
        <v>175</v>
      </c>
      <c r="B82" s="141">
        <v>0</v>
      </c>
      <c r="C82" s="141">
        <v>0</v>
      </c>
      <c r="D82" s="141">
        <v>0</v>
      </c>
      <c r="E82" s="141" t="e">
        <v>#VALUE!</v>
      </c>
      <c r="F82" s="141">
        <v>0</v>
      </c>
      <c r="G82" s="141">
        <v>0</v>
      </c>
      <c r="H82" s="141">
        <v>0</v>
      </c>
      <c r="I82" s="141">
        <v>0</v>
      </c>
      <c r="J82" s="141">
        <v>0</v>
      </c>
      <c r="K82" s="141">
        <v>0</v>
      </c>
      <c r="L82" s="141" t="e">
        <v>#VALUE!</v>
      </c>
      <c r="M82" s="141">
        <v>0</v>
      </c>
      <c r="N82" s="141">
        <v>0</v>
      </c>
      <c r="O82" s="141">
        <v>0</v>
      </c>
      <c r="P82" s="141" t="e">
        <v>#VALUE!</v>
      </c>
      <c r="Q82" s="141">
        <v>0</v>
      </c>
      <c r="R82" s="141">
        <v>0</v>
      </c>
      <c r="S82" s="141">
        <v>0</v>
      </c>
      <c r="T82" s="141">
        <v>0</v>
      </c>
      <c r="U82" s="141">
        <v>0</v>
      </c>
    </row>
    <row r="83" spans="1:21" x14ac:dyDescent="0.3">
      <c r="A83" s="119" t="s">
        <v>176</v>
      </c>
      <c r="B83" s="141">
        <v>8.704539673235704E-3</v>
      </c>
      <c r="C83" s="141">
        <v>1.2751981611000633E-2</v>
      </c>
      <c r="D83" s="141">
        <v>1.291458013874976E-2</v>
      </c>
      <c r="E83" s="141" t="e">
        <v>#VALUE!</v>
      </c>
      <c r="F83" s="141">
        <v>1.3616357347083134E-2</v>
      </c>
      <c r="G83" s="141">
        <v>1.376870789160123E-2</v>
      </c>
      <c r="H83" s="141">
        <v>1.3916511784561188E-2</v>
      </c>
      <c r="I83" s="141">
        <v>1.4734936495803859E-2</v>
      </c>
      <c r="J83" s="141">
        <v>1.648753694641852E-2</v>
      </c>
      <c r="K83" s="141">
        <v>2.4690450703703824E-2</v>
      </c>
      <c r="L83" s="141">
        <v>2.5420870619402715E-2</v>
      </c>
      <c r="M83" s="141">
        <v>2.6501753020589415E-2</v>
      </c>
      <c r="N83" s="141">
        <v>2.6805775197854469E-2</v>
      </c>
      <c r="O83" s="141">
        <v>2.7713027627999872E-2</v>
      </c>
      <c r="P83" s="141">
        <v>2.801458103518811E-2</v>
      </c>
      <c r="Q83" s="141">
        <v>2.8707455072635456E-2</v>
      </c>
      <c r="R83" s="141">
        <v>2.9467918548630241E-2</v>
      </c>
      <c r="S83" s="141">
        <v>3.5542526195777649E-2</v>
      </c>
      <c r="T83" s="141">
        <v>3.5908603652001311E-2</v>
      </c>
      <c r="U83" s="141">
        <v>3.5908603652001311E-2</v>
      </c>
    </row>
    <row r="84" spans="1:21" x14ac:dyDescent="0.3">
      <c r="A84" s="119" t="s">
        <v>177</v>
      </c>
      <c r="B84" s="141">
        <v>3591.1120899133612</v>
      </c>
      <c r="C84" s="141">
        <v>3625.936179000556</v>
      </c>
      <c r="D84" s="141">
        <v>3783.1428462710951</v>
      </c>
      <c r="E84" s="141">
        <v>5006.7544208067584</v>
      </c>
      <c r="F84" s="141">
        <v>5419.0374779554768</v>
      </c>
      <c r="G84" s="141">
        <v>4902.6642728308379</v>
      </c>
      <c r="H84" s="141">
        <v>4754.994281149935</v>
      </c>
      <c r="I84" s="141">
        <v>4632.0562713428408</v>
      </c>
      <c r="J84" s="141">
        <v>4065.9145134874339</v>
      </c>
      <c r="K84" s="141">
        <v>4167.7703605265369</v>
      </c>
      <c r="L84" s="141">
        <v>4995.7403043511613</v>
      </c>
      <c r="M84" s="141">
        <v>4542.1683454700496</v>
      </c>
      <c r="N84" s="141">
        <v>3362.9684334174012</v>
      </c>
      <c r="O84" s="141">
        <v>3014.9927729322708</v>
      </c>
      <c r="P84" s="141">
        <v>3132.377409420154</v>
      </c>
      <c r="Q84" s="141">
        <v>3332.9893881982621</v>
      </c>
      <c r="R84" s="141">
        <v>3518.0637220082613</v>
      </c>
      <c r="S84" s="141">
        <v>3357.2179769878176</v>
      </c>
      <c r="T84" s="141">
        <v>3731.1333460186383</v>
      </c>
      <c r="U84" s="141">
        <v>4062.9423954729227</v>
      </c>
    </row>
    <row r="85" spans="1:21" x14ac:dyDescent="0.3">
      <c r="A85" s="119" t="s">
        <v>178</v>
      </c>
      <c r="B85" s="141">
        <v>0.24859877771121724</v>
      </c>
      <c r="C85" s="141">
        <v>0.24941097023695316</v>
      </c>
      <c r="D85" s="141">
        <v>0.2940503541596759</v>
      </c>
      <c r="E85" s="141">
        <v>0.36362722070602638</v>
      </c>
      <c r="F85" s="141">
        <v>0.47084201630345607</v>
      </c>
      <c r="G85" s="141">
        <v>0.46530195026467758</v>
      </c>
      <c r="H85" s="141">
        <v>0.40758613715488151</v>
      </c>
      <c r="I85" s="141">
        <v>0.40305314612344617</v>
      </c>
      <c r="J85" s="141">
        <v>0.37398935286838902</v>
      </c>
      <c r="K85" s="141">
        <v>0.39048733231473831</v>
      </c>
      <c r="L85" s="141">
        <v>0.45254379651869941</v>
      </c>
      <c r="M85" s="141">
        <v>0.43553445767983562</v>
      </c>
      <c r="N85" s="141">
        <v>0.33653371731014087</v>
      </c>
      <c r="O85" s="141">
        <v>0.31933637443535079</v>
      </c>
      <c r="P85" s="141">
        <v>0.34474202692580047</v>
      </c>
      <c r="Q85" s="141">
        <v>0.37631202323816249</v>
      </c>
      <c r="R85" s="141">
        <v>0.41969859522782743</v>
      </c>
      <c r="S85" s="141">
        <v>0.44666973611712579</v>
      </c>
      <c r="T85" s="141">
        <v>0.50014342464318107</v>
      </c>
      <c r="U85" s="141">
        <v>0.54849113140754624</v>
      </c>
    </row>
    <row r="86" spans="1:21" x14ac:dyDescent="0.3">
      <c r="A86" s="119" t="s">
        <v>179</v>
      </c>
      <c r="B86" s="141">
        <v>0.3166640212989662</v>
      </c>
      <c r="C86" s="141">
        <v>0.32091064352737031</v>
      </c>
      <c r="D86" s="141">
        <v>0.31709355378296605</v>
      </c>
      <c r="E86" s="141">
        <v>0.31250329996941589</v>
      </c>
      <c r="F86" s="141">
        <v>0.29338515370812873</v>
      </c>
      <c r="G86" s="141">
        <v>0.28957465913836966</v>
      </c>
      <c r="H86" s="141">
        <v>0.29824130055074577</v>
      </c>
      <c r="I86" s="141">
        <v>0.30472615138981612</v>
      </c>
      <c r="J86" s="141">
        <v>0.30651769408002844</v>
      </c>
      <c r="K86" s="141">
        <v>0.30577263187660036</v>
      </c>
      <c r="L86" s="141">
        <v>0.28956132606420176</v>
      </c>
      <c r="M86" s="141">
        <v>0.29083069515672061</v>
      </c>
      <c r="N86" s="141">
        <v>0.29787168312932205</v>
      </c>
      <c r="O86" s="141">
        <v>0.29088832374991874</v>
      </c>
      <c r="P86" s="141">
        <v>0.29194960142673171</v>
      </c>
      <c r="Q86" s="141">
        <v>0.29212195803584817</v>
      </c>
      <c r="R86" s="141">
        <v>0.28561995911219556</v>
      </c>
      <c r="S86" s="141">
        <v>0.27789576594318993</v>
      </c>
      <c r="T86" s="141">
        <v>0.2814814936871109</v>
      </c>
      <c r="U86" s="141">
        <v>0.28110044369499149</v>
      </c>
    </row>
    <row r="87" spans="1:21" x14ac:dyDescent="0.3">
      <c r="A87" s="119" t="s">
        <v>180</v>
      </c>
      <c r="B87" s="141">
        <v>2.4484408000700234E-2</v>
      </c>
      <c r="C87" s="141">
        <v>1.8109652815577099E-2</v>
      </c>
      <c r="D87" s="141">
        <v>1.8265728240055283E-2</v>
      </c>
      <c r="E87" s="141">
        <v>1.8527833456456068E-2</v>
      </c>
      <c r="F87" s="141">
        <v>2.1852163366257334E-2</v>
      </c>
      <c r="G87" s="141">
        <v>2.1035209639421296E-2</v>
      </c>
      <c r="H87" s="141">
        <v>2.4380908633835633E-2</v>
      </c>
      <c r="I87" s="141">
        <v>2.9652980949845451E-2</v>
      </c>
      <c r="J87" s="141">
        <v>2.7477569162178327E-2</v>
      </c>
      <c r="K87" s="141">
        <v>2.768215074370424E-2</v>
      </c>
      <c r="L87" s="141">
        <v>2.2023708205112229E-2</v>
      </c>
      <c r="M87" s="141">
        <v>2.1720659883214567E-2</v>
      </c>
      <c r="N87" s="141">
        <v>2.2039942390055023E-2</v>
      </c>
      <c r="O87" s="141">
        <v>1.7992668643553165E-2</v>
      </c>
      <c r="P87" s="141">
        <v>2.1710892906651923E-2</v>
      </c>
      <c r="Q87" s="141">
        <v>2.5027144953943758E-2</v>
      </c>
      <c r="R87" s="141">
        <v>2.4153412740032954E-2</v>
      </c>
      <c r="S87" s="141">
        <v>2.292795380912702E-2</v>
      </c>
      <c r="T87" s="141">
        <v>2.4621446146415552E-2</v>
      </c>
      <c r="U87" s="141">
        <v>2.8538037517115401E-2</v>
      </c>
    </row>
    <row r="88" spans="1:21" x14ac:dyDescent="0.3">
      <c r="A88" s="119" t="s">
        <v>181</v>
      </c>
      <c r="B88" s="141">
        <v>0.41441470502363736</v>
      </c>
      <c r="C88" s="141">
        <v>0.44694667980625885</v>
      </c>
      <c r="D88" s="141">
        <v>0.4799222548002573</v>
      </c>
      <c r="E88" s="141">
        <v>0.50931014138652975</v>
      </c>
      <c r="F88" s="141">
        <v>0.47231591453802091</v>
      </c>
      <c r="G88" s="141">
        <v>0.49349157709952729</v>
      </c>
      <c r="H88" s="141">
        <v>0.43867635533356109</v>
      </c>
      <c r="I88" s="141">
        <v>0.44769012547364451</v>
      </c>
      <c r="J88" s="141">
        <v>0.45369640966594965</v>
      </c>
      <c r="K88" s="141">
        <v>0.52335609275873329</v>
      </c>
      <c r="L88" s="141">
        <v>0.50270468563911563</v>
      </c>
      <c r="M88" s="141">
        <v>0.5050340925627852</v>
      </c>
      <c r="N88" s="141">
        <v>0.47451137651246</v>
      </c>
      <c r="O88" s="141">
        <v>0.49690951531393951</v>
      </c>
      <c r="P88" s="141">
        <v>0.49491365360245609</v>
      </c>
      <c r="Q88" s="141">
        <v>0.50285648523926185</v>
      </c>
      <c r="R88" s="141">
        <v>0.49660362036873973</v>
      </c>
      <c r="S88" s="141">
        <v>0.52959137418539626</v>
      </c>
      <c r="T88" s="141">
        <v>0.56156386053946195</v>
      </c>
      <c r="U88" s="141">
        <v>0.53769476728305288</v>
      </c>
    </row>
    <row r="89" spans="1:21" x14ac:dyDescent="0.3">
      <c r="A89" s="119" t="s">
        <v>182</v>
      </c>
      <c r="B89" s="6" t="s">
        <v>51</v>
      </c>
      <c r="C89" s="6">
        <v>16133</v>
      </c>
      <c r="D89" s="6" t="s">
        <v>51</v>
      </c>
      <c r="E89" s="6" t="s">
        <v>51</v>
      </c>
      <c r="F89" s="6" t="s">
        <v>51</v>
      </c>
      <c r="G89" s="6">
        <v>15810</v>
      </c>
      <c r="H89" s="6" t="s">
        <v>51</v>
      </c>
      <c r="I89" s="6" t="s">
        <v>51</v>
      </c>
      <c r="J89" s="6" t="s">
        <v>51</v>
      </c>
      <c r="K89" s="6">
        <v>15018</v>
      </c>
      <c r="L89" s="6" t="s">
        <v>51</v>
      </c>
      <c r="M89" s="6" t="s">
        <v>51</v>
      </c>
      <c r="N89" s="6" t="s">
        <v>51</v>
      </c>
      <c r="O89" s="6">
        <v>14700</v>
      </c>
      <c r="P89" s="6" t="s">
        <v>51</v>
      </c>
      <c r="Q89" s="6" t="s">
        <v>51</v>
      </c>
      <c r="R89" s="6" t="s">
        <v>51</v>
      </c>
      <c r="S89" s="6">
        <v>13777</v>
      </c>
      <c r="T89" s="6" t="s">
        <v>51</v>
      </c>
      <c r="U89" s="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F393-9D0B-4914-B8CF-A1CF5E0D8E68}">
  <sheetPr>
    <tabColor theme="3" tint="0.249977111117893"/>
  </sheetPr>
  <dimension ref="A1:U61"/>
  <sheetViews>
    <sheetView showGridLines="0" zoomScale="60" zoomScaleNormal="60" workbookViewId="0">
      <selection activeCell="V1" sqref="V1:AP1048576"/>
    </sheetView>
  </sheetViews>
  <sheetFormatPr baseColWidth="10" defaultRowHeight="14.4" x14ac:dyDescent="0.3"/>
  <cols>
    <col min="1" max="1" width="33.109375" style="113" customWidth="1"/>
  </cols>
  <sheetData>
    <row r="1" spans="1:21" x14ac:dyDescent="0.3">
      <c r="A1" s="110" t="s">
        <v>183</v>
      </c>
      <c r="B1" s="108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4" t="s">
        <v>20</v>
      </c>
    </row>
    <row r="2" spans="1:21" x14ac:dyDescent="0.3">
      <c r="A2" s="111" t="s">
        <v>103</v>
      </c>
      <c r="B2" s="109">
        <v>45747</v>
      </c>
      <c r="C2" s="3">
        <v>45657</v>
      </c>
      <c r="D2" s="3">
        <v>45565</v>
      </c>
      <c r="E2" s="3">
        <v>45473</v>
      </c>
      <c r="F2" s="3">
        <v>45382</v>
      </c>
      <c r="G2" s="3">
        <v>45291</v>
      </c>
      <c r="H2" s="3">
        <v>45199</v>
      </c>
      <c r="I2" s="3">
        <v>45107</v>
      </c>
      <c r="J2" s="3">
        <v>45016</v>
      </c>
      <c r="K2" s="3">
        <v>44926</v>
      </c>
      <c r="L2" s="3">
        <v>44834</v>
      </c>
      <c r="M2" s="3">
        <v>44742</v>
      </c>
      <c r="N2" s="3">
        <v>44651</v>
      </c>
      <c r="O2" s="3">
        <v>44561</v>
      </c>
      <c r="P2" s="3">
        <v>44469</v>
      </c>
      <c r="Q2" s="3">
        <v>44377</v>
      </c>
      <c r="R2" s="3">
        <v>44286</v>
      </c>
      <c r="S2" s="3">
        <v>44196</v>
      </c>
      <c r="T2" s="3">
        <v>44104</v>
      </c>
      <c r="U2" s="4">
        <v>44012</v>
      </c>
    </row>
    <row r="3" spans="1:21" x14ac:dyDescent="0.3">
      <c r="A3" s="118" t="s">
        <v>184</v>
      </c>
      <c r="B3" s="5" t="s">
        <v>51</v>
      </c>
      <c r="C3" s="5" t="s">
        <v>51</v>
      </c>
      <c r="D3" s="5" t="s">
        <v>51</v>
      </c>
      <c r="E3" s="5" t="s">
        <v>51</v>
      </c>
      <c r="F3" s="5" t="s">
        <v>51</v>
      </c>
      <c r="G3" s="5" t="s">
        <v>51</v>
      </c>
      <c r="H3" s="5" t="s">
        <v>51</v>
      </c>
      <c r="I3" s="5" t="s">
        <v>51</v>
      </c>
      <c r="J3" s="5" t="s">
        <v>51</v>
      </c>
      <c r="K3" s="5" t="s">
        <v>51</v>
      </c>
      <c r="L3" s="5" t="s">
        <v>51</v>
      </c>
      <c r="M3" s="5" t="s">
        <v>51</v>
      </c>
      <c r="N3" s="5" t="s">
        <v>51</v>
      </c>
      <c r="O3" s="5" t="s">
        <v>51</v>
      </c>
      <c r="P3" s="5" t="s">
        <v>51</v>
      </c>
      <c r="Q3" s="5" t="s">
        <v>51</v>
      </c>
      <c r="R3" s="5" t="s">
        <v>51</v>
      </c>
      <c r="S3" s="5" t="s">
        <v>51</v>
      </c>
      <c r="T3" s="5" t="s">
        <v>51</v>
      </c>
      <c r="U3" s="5" t="s">
        <v>51</v>
      </c>
    </row>
    <row r="4" spans="1:21" x14ac:dyDescent="0.3">
      <c r="A4" s="112" t="s">
        <v>185</v>
      </c>
      <c r="B4" s="6">
        <v>951.05698726725814</v>
      </c>
      <c r="C4" s="6">
        <v>797.93648120942214</v>
      </c>
      <c r="D4" s="6">
        <v>882.44053674616157</v>
      </c>
      <c r="E4" s="6">
        <v>976.27200825426121</v>
      </c>
      <c r="F4" s="6">
        <v>720.98903223084733</v>
      </c>
      <c r="G4" s="6">
        <v>433.70402420407964</v>
      </c>
      <c r="H4" s="6">
        <v>590.61762598262874</v>
      </c>
      <c r="I4" s="6">
        <v>496.28997537006336</v>
      </c>
      <c r="J4" s="6">
        <v>709.79087667391718</v>
      </c>
      <c r="K4" s="6">
        <v>840.46534158998838</v>
      </c>
      <c r="L4" s="6">
        <v>473.51495670611979</v>
      </c>
      <c r="M4" s="6">
        <v>370.059202740324</v>
      </c>
      <c r="N4" s="6">
        <v>601.89373560179888</v>
      </c>
      <c r="O4" s="6">
        <v>624.56685762156394</v>
      </c>
      <c r="P4" s="6">
        <v>629.79518364190403</v>
      </c>
      <c r="Q4" s="6">
        <v>673.07786512894609</v>
      </c>
      <c r="R4" s="6">
        <v>534.0890142943598</v>
      </c>
      <c r="S4" s="6">
        <v>406.55864268166368</v>
      </c>
      <c r="T4" s="6">
        <v>354.09705437634591</v>
      </c>
      <c r="U4" s="6">
        <v>183.98304219349657</v>
      </c>
    </row>
    <row r="5" spans="1:21" x14ac:dyDescent="0.3">
      <c r="A5" s="112" t="s">
        <v>186</v>
      </c>
      <c r="B5" s="6">
        <v>225.02014351454955</v>
      </c>
      <c r="C5" s="6">
        <v>215.28907201795974</v>
      </c>
      <c r="D5" s="6">
        <v>209.71125056385304</v>
      </c>
      <c r="E5" s="6">
        <v>215.35109759007904</v>
      </c>
      <c r="F5" s="6">
        <v>204.73737464164006</v>
      </c>
      <c r="G5" s="6">
        <v>202.91500638042558</v>
      </c>
      <c r="H5" s="6">
        <v>202.59280955820597</v>
      </c>
      <c r="I5" s="6">
        <v>189.63262620532831</v>
      </c>
      <c r="J5" s="6">
        <v>177.79685388400998</v>
      </c>
      <c r="K5" s="6">
        <v>185.06257022820333</v>
      </c>
      <c r="L5" s="6">
        <v>175.17316317451832</v>
      </c>
      <c r="M5" s="6">
        <v>178.90902931466044</v>
      </c>
      <c r="N5" s="6">
        <v>150.79942451804979</v>
      </c>
      <c r="O5" s="6">
        <v>154.9045771724071</v>
      </c>
      <c r="P5" s="6">
        <v>147.64907832268702</v>
      </c>
      <c r="Q5" s="6">
        <v>141.00934367556133</v>
      </c>
      <c r="R5" s="6">
        <v>140.27003962745295</v>
      </c>
      <c r="S5" s="6">
        <v>132.8789599683038</v>
      </c>
      <c r="T5" s="6">
        <v>137.16012382957274</v>
      </c>
      <c r="U5" s="6">
        <v>137.40236445895815</v>
      </c>
    </row>
    <row r="6" spans="1:21" x14ac:dyDescent="0.3">
      <c r="A6" s="112" t="s">
        <v>187</v>
      </c>
      <c r="B6" s="6">
        <v>99.238106188052001</v>
      </c>
      <c r="C6" s="6">
        <v>-285.94650321713141</v>
      </c>
      <c r="D6" s="6">
        <v>182.64855985289125</v>
      </c>
      <c r="E6" s="6">
        <v>-203.12458012194</v>
      </c>
      <c r="F6" s="6">
        <v>-270.46884755290341</v>
      </c>
      <c r="G6" s="6">
        <v>-123.67874308201732</v>
      </c>
      <c r="H6" s="6">
        <v>54.151866272499298</v>
      </c>
      <c r="I6" s="6">
        <v>40.97225002141893</v>
      </c>
      <c r="J6" s="6">
        <v>-4.8006023385471508</v>
      </c>
      <c r="K6" s="6">
        <v>193.91055420992419</v>
      </c>
      <c r="L6" s="6">
        <v>-114.68368026581749</v>
      </c>
      <c r="M6" s="6">
        <v>-159.73409028763467</v>
      </c>
      <c r="N6" s="6">
        <v>178.71956211956052</v>
      </c>
      <c r="O6" s="6">
        <v>-81.201189292215346</v>
      </c>
      <c r="P6" s="6">
        <v>-83.842028251083335</v>
      </c>
      <c r="Q6" s="6">
        <v>68.844889389194222</v>
      </c>
      <c r="R6" s="6">
        <v>-38.738585221141051</v>
      </c>
      <c r="S6" s="6">
        <v>98.849822475124924</v>
      </c>
      <c r="T6" s="6">
        <v>-52.134842986240656</v>
      </c>
      <c r="U6" s="6">
        <v>64.4472390573751</v>
      </c>
    </row>
    <row r="7" spans="1:21" x14ac:dyDescent="0.3">
      <c r="A7" s="112" t="s">
        <v>188</v>
      </c>
      <c r="B7" s="6">
        <v>28.353744625157717</v>
      </c>
      <c r="C7" s="6">
        <v>-50.053201617620893</v>
      </c>
      <c r="D7" s="6">
        <v>-25.094495022891849</v>
      </c>
      <c r="E7" s="6">
        <v>4.1097537708030352</v>
      </c>
      <c r="F7" s="6">
        <v>18.710449070121175</v>
      </c>
      <c r="G7" s="6">
        <v>-15.398929398706651</v>
      </c>
      <c r="H7" s="6">
        <v>-47.287545195703608</v>
      </c>
      <c r="I7" s="6">
        <v>22.389702998430256</v>
      </c>
      <c r="J7" s="6">
        <v>-16.060196914412291</v>
      </c>
      <c r="K7" s="6">
        <v>31.759605660703247</v>
      </c>
      <c r="L7" s="6">
        <v>47.990147828019083</v>
      </c>
      <c r="M7" s="6">
        <v>-10.101083951736811</v>
      </c>
      <c r="N7" s="6">
        <v>33.519505856758776</v>
      </c>
      <c r="O7" s="6">
        <v>-19.644239699501775</v>
      </c>
      <c r="P7" s="6">
        <v>-74.985987171748135</v>
      </c>
      <c r="Q7" s="6">
        <v>30.381235254560554</v>
      </c>
      <c r="R7" s="6">
        <v>-27.200919947696509</v>
      </c>
      <c r="S7" s="6">
        <v>-4.3397483037859725</v>
      </c>
      <c r="T7" s="6">
        <v>-32.120661651925452</v>
      </c>
      <c r="U7" s="6">
        <v>-13.329021939259096</v>
      </c>
    </row>
    <row r="8" spans="1:21" x14ac:dyDescent="0.3">
      <c r="A8" s="112" t="s">
        <v>189</v>
      </c>
      <c r="B8" s="6">
        <v>70.884361562894284</v>
      </c>
      <c r="C8" s="6">
        <v>-235.89330159951049</v>
      </c>
      <c r="D8" s="6">
        <v>207.74305487578312</v>
      </c>
      <c r="E8" s="6">
        <v>-207.23433389274305</v>
      </c>
      <c r="F8" s="6">
        <v>-289.17929662302458</v>
      </c>
      <c r="G8" s="6">
        <v>-108.27981368331068</v>
      </c>
      <c r="H8" s="6">
        <v>101.43941146820291</v>
      </c>
      <c r="I8" s="6">
        <v>18.582547022988674</v>
      </c>
      <c r="J8" s="6">
        <v>11.25959457586514</v>
      </c>
      <c r="K8" s="6">
        <v>162.15094854922094</v>
      </c>
      <c r="L8" s="6">
        <v>-162.67382809383656</v>
      </c>
      <c r="M8" s="6">
        <v>-149.63300633589785</v>
      </c>
      <c r="N8" s="6">
        <v>145.20005626280178</v>
      </c>
      <c r="O8" s="6">
        <v>-61.556949592713565</v>
      </c>
      <c r="P8" s="6">
        <v>-8.8560410793352098</v>
      </c>
      <c r="Q8" s="6">
        <v>38.463654134633671</v>
      </c>
      <c r="R8" s="6">
        <v>-11.537665273444537</v>
      </c>
      <c r="S8" s="6">
        <v>103.18957077891091</v>
      </c>
      <c r="T8" s="6">
        <v>-20.014181334315207</v>
      </c>
      <c r="U8" s="6">
        <v>77.776260996634207</v>
      </c>
    </row>
    <row r="9" spans="1:21" x14ac:dyDescent="0.3">
      <c r="A9" s="112" t="s">
        <v>190</v>
      </c>
      <c r="B9" s="6">
        <v>-549.98220957309468</v>
      </c>
      <c r="C9" s="6">
        <v>640.13823514583828</v>
      </c>
      <c r="D9" s="6">
        <v>141.71008954103633</v>
      </c>
      <c r="E9" s="6" t="e">
        <v>#VALUE!</v>
      </c>
      <c r="F9" s="6">
        <v>-9.0123629028855898</v>
      </c>
      <c r="G9" s="6">
        <v>14.326852035505553</v>
      </c>
      <c r="H9" s="6">
        <v>153.4938463005702</v>
      </c>
      <c r="I9" s="6">
        <v>-4.3510354005046654</v>
      </c>
      <c r="J9" s="6">
        <v>151.69903389809005</v>
      </c>
      <c r="K9" s="6">
        <v>-211.88593219384128</v>
      </c>
      <c r="L9" s="6">
        <v>4.3793290793629582</v>
      </c>
      <c r="M9" s="6">
        <v>-123.95228442470255</v>
      </c>
      <c r="N9" s="6">
        <v>-301.9056637350173</v>
      </c>
      <c r="O9" s="6">
        <v>222.23483385237884</v>
      </c>
      <c r="P9" s="6">
        <v>192.43741722391513</v>
      </c>
      <c r="Q9" s="6">
        <v>-116.90641594391471</v>
      </c>
      <c r="R9" s="6">
        <v>-88.385508518993291</v>
      </c>
      <c r="S9" s="6">
        <v>116.48435526511236</v>
      </c>
      <c r="T9" s="6">
        <v>116.16622732504629</v>
      </c>
      <c r="U9" s="6">
        <v>-88.552917032630916</v>
      </c>
    </row>
    <row r="10" spans="1:21" x14ac:dyDescent="0.3">
      <c r="A10" s="112" t="s">
        <v>191</v>
      </c>
      <c r="B10" s="6">
        <v>-360.55506463055161</v>
      </c>
      <c r="C10" s="6">
        <v>342.33173636469235</v>
      </c>
      <c r="D10" s="6">
        <v>90.537001651217651</v>
      </c>
      <c r="E10" s="6" t="e">
        <v>#VALUE!</v>
      </c>
      <c r="F10" s="6">
        <v>-149.6835925609694</v>
      </c>
      <c r="G10" s="6">
        <v>-9.8436194257555147</v>
      </c>
      <c r="H10" s="6">
        <v>-60.158147214695525</v>
      </c>
      <c r="I10" s="6">
        <v>176.48887343297045</v>
      </c>
      <c r="J10" s="6">
        <v>114.7780377307183</v>
      </c>
      <c r="K10" s="6">
        <v>-305.76769907357402</v>
      </c>
      <c r="L10" s="6">
        <v>-1.0948322698407396</v>
      </c>
      <c r="M10" s="6">
        <v>103.75011652122893</v>
      </c>
      <c r="N10" s="6">
        <v>132.62065360717605</v>
      </c>
      <c r="O10" s="6">
        <v>100.92040700583735</v>
      </c>
      <c r="P10" s="6">
        <v>-41.884718875216528</v>
      </c>
      <c r="Q10" s="6">
        <v>-146.7825000184707</v>
      </c>
      <c r="R10" s="6">
        <v>-114.18792358506019</v>
      </c>
      <c r="S10" s="6">
        <v>-78.046584574436622</v>
      </c>
      <c r="T10" s="6">
        <v>-71.099329495329542</v>
      </c>
      <c r="U10" s="6">
        <v>-102.30733328910041</v>
      </c>
    </row>
    <row r="11" spans="1:21" x14ac:dyDescent="0.3">
      <c r="A11" s="112" t="s">
        <v>192</v>
      </c>
      <c r="B11" s="6">
        <v>85.765050231416765</v>
      </c>
      <c r="C11" s="6">
        <v>-60.90811281180374</v>
      </c>
      <c r="D11" s="6">
        <v>28.932476614628246</v>
      </c>
      <c r="E11" s="6" t="e">
        <v>#VALUE!</v>
      </c>
      <c r="F11" s="6">
        <v>-8.0327582395284605</v>
      </c>
      <c r="G11" s="6">
        <v>-71.731721756000596</v>
      </c>
      <c r="H11" s="6">
        <v>-2.2881070255985616</v>
      </c>
      <c r="I11" s="6">
        <v>-12.690519918138607</v>
      </c>
      <c r="J11" s="6">
        <v>25.835968949271948</v>
      </c>
      <c r="K11" s="6">
        <v>46.754610092882778</v>
      </c>
      <c r="L11" s="6">
        <v>28.191930948399037</v>
      </c>
      <c r="M11" s="6">
        <v>-40.489938213317892</v>
      </c>
      <c r="N11" s="6">
        <v>-31.832025012711423</v>
      </c>
      <c r="O11" s="6">
        <v>9.8221198497508873</v>
      </c>
      <c r="P11" s="6">
        <v>-6.8960975617774176</v>
      </c>
      <c r="Q11" s="6">
        <v>-26.773012540242199</v>
      </c>
      <c r="R11" s="6">
        <v>26.71144323912614</v>
      </c>
      <c r="S11" s="6">
        <v>46.703957935982366</v>
      </c>
      <c r="T11" s="6">
        <v>-0.41987793009052876</v>
      </c>
      <c r="U11" s="6">
        <v>60.97318546682353</v>
      </c>
    </row>
    <row r="12" spans="1:21" x14ac:dyDescent="0.3">
      <c r="A12" s="112" t="s">
        <v>193</v>
      </c>
      <c r="B12" s="6">
        <v>-275.19219517395982</v>
      </c>
      <c r="C12" s="6">
        <v>358.71461159294972</v>
      </c>
      <c r="D12" s="6">
        <v>22.240611275190425</v>
      </c>
      <c r="E12" s="6" t="e">
        <v>#VALUE!</v>
      </c>
      <c r="F12" s="6">
        <v>148.70398789761225</v>
      </c>
      <c r="G12" s="6">
        <v>95.902193217261669</v>
      </c>
      <c r="H12" s="6">
        <v>215.94010054086428</v>
      </c>
      <c r="I12" s="6">
        <v>-168.14938891533654</v>
      </c>
      <c r="J12" s="6">
        <v>11.085027218099787</v>
      </c>
      <c r="K12" s="6">
        <v>47.127156786849973</v>
      </c>
      <c r="L12" s="6">
        <v>-22.717769599195343</v>
      </c>
      <c r="M12" s="6">
        <v>-187.21246273261357</v>
      </c>
      <c r="N12" s="6">
        <v>-402.69429232948193</v>
      </c>
      <c r="O12" s="6">
        <v>111.4923069967906</v>
      </c>
      <c r="P12" s="6">
        <v>241.21823366090908</v>
      </c>
      <c r="Q12" s="6">
        <v>56.649096614798175</v>
      </c>
      <c r="R12" s="6">
        <v>-0.90902817305926653</v>
      </c>
      <c r="S12" s="6">
        <v>147.8269819035666</v>
      </c>
      <c r="T12" s="6">
        <v>187.68543475046636</v>
      </c>
      <c r="U12" s="6">
        <v>-47.218769210354033</v>
      </c>
    </row>
    <row r="13" spans="1:21" x14ac:dyDescent="0.3">
      <c r="A13" s="112" t="s">
        <v>194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x14ac:dyDescent="0.3">
      <c r="A14" s="112" t="s">
        <v>184</v>
      </c>
      <c r="B14" s="6">
        <v>725.33302739676503</v>
      </c>
      <c r="C14" s="6">
        <v>1367.4172851560888</v>
      </c>
      <c r="D14" s="6">
        <v>1416.5104367039423</v>
      </c>
      <c r="E14" s="6">
        <v>988.49852572240013</v>
      </c>
      <c r="F14" s="6">
        <v>646.24519641669838</v>
      </c>
      <c r="G14" s="6">
        <v>527.26713953799344</v>
      </c>
      <c r="H14" s="6">
        <v>1000.8561481139043</v>
      </c>
      <c r="I14" s="6">
        <v>722.54381619630601</v>
      </c>
      <c r="J14" s="6">
        <v>1034.48616211747</v>
      </c>
      <c r="K14" s="6">
        <v>1007.5525338342746</v>
      </c>
      <c r="L14" s="6">
        <v>538.38376869418369</v>
      </c>
      <c r="M14" s="6">
        <v>265.28185734264724</v>
      </c>
      <c r="N14" s="6">
        <v>629.50705850439203</v>
      </c>
      <c r="O14" s="6">
        <v>920.50507935413464</v>
      </c>
      <c r="P14" s="6">
        <v>886.03965093742261</v>
      </c>
      <c r="Q14" s="6">
        <v>766.02568224978688</v>
      </c>
      <c r="R14" s="6">
        <v>547.23496018167839</v>
      </c>
      <c r="S14" s="6">
        <v>754.77178039020475</v>
      </c>
      <c r="T14" s="6">
        <v>555.2885625447243</v>
      </c>
      <c r="U14" s="6">
        <v>297.27972867719893</v>
      </c>
    </row>
    <row r="15" spans="1:21" x14ac:dyDescent="0.3">
      <c r="A15" s="112"/>
      <c r="B15" s="6" t="e">
        <v>#VALUE!</v>
      </c>
      <c r="C15" s="6" t="e">
        <v>#VALUE!</v>
      </c>
      <c r="D15" s="6" t="e">
        <v>#VALUE!</v>
      </c>
      <c r="E15" s="6" t="e">
        <v>#VALUE!</v>
      </c>
      <c r="F15" s="6" t="e">
        <v>#VALUE!</v>
      </c>
      <c r="G15" s="6" t="e">
        <v>#VALUE!</v>
      </c>
      <c r="H15" s="6" t="e">
        <v>#VALUE!</v>
      </c>
      <c r="I15" s="6" t="e">
        <v>#VALUE!</v>
      </c>
      <c r="J15" s="6" t="e">
        <v>#VALUE!</v>
      </c>
      <c r="K15" s="6" t="e">
        <v>#VALUE!</v>
      </c>
      <c r="L15" s="6" t="e">
        <v>#VALUE!</v>
      </c>
      <c r="M15" s="6" t="e">
        <v>#VALUE!</v>
      </c>
      <c r="N15" s="6" t="e">
        <v>#VALUE!</v>
      </c>
      <c r="O15" s="6" t="e">
        <v>#VALUE!</v>
      </c>
      <c r="P15" s="6" t="e">
        <v>#VALUE!</v>
      </c>
      <c r="Q15" s="6" t="e">
        <v>#VALUE!</v>
      </c>
      <c r="R15" s="6" t="e">
        <v>#VALUE!</v>
      </c>
      <c r="S15" s="6" t="e">
        <v>#VALUE!</v>
      </c>
      <c r="T15" s="6" t="e">
        <v>#VALUE!</v>
      </c>
      <c r="U15" s="6" t="e">
        <v>#VALUE!</v>
      </c>
    </row>
    <row r="16" spans="1:21" x14ac:dyDescent="0.3">
      <c r="A16" s="118" t="s">
        <v>195</v>
      </c>
      <c r="B16" s="6" t="e">
        <v>#VALUE!</v>
      </c>
      <c r="C16" s="6" t="e">
        <v>#VALUE!</v>
      </c>
      <c r="D16" s="6" t="e">
        <v>#VALUE!</v>
      </c>
      <c r="E16" s="6" t="e">
        <v>#VALUE!</v>
      </c>
      <c r="F16" s="6" t="e">
        <v>#VALUE!</v>
      </c>
      <c r="G16" s="6" t="e">
        <v>#VALUE!</v>
      </c>
      <c r="H16" s="6" t="e">
        <v>#VALUE!</v>
      </c>
      <c r="I16" s="6" t="e">
        <v>#VALUE!</v>
      </c>
      <c r="J16" s="6" t="e">
        <v>#VALUE!</v>
      </c>
      <c r="K16" s="6" t="e">
        <v>#VALUE!</v>
      </c>
      <c r="L16" s="6" t="e">
        <v>#VALUE!</v>
      </c>
      <c r="M16" s="6" t="e">
        <v>#VALUE!</v>
      </c>
      <c r="N16" s="6" t="e">
        <v>#VALUE!</v>
      </c>
      <c r="O16" s="6" t="e">
        <v>#VALUE!</v>
      </c>
      <c r="P16" s="6" t="e">
        <v>#VALUE!</v>
      </c>
      <c r="Q16" s="6" t="e">
        <v>#VALUE!</v>
      </c>
      <c r="R16" s="6" t="e">
        <v>#VALUE!</v>
      </c>
      <c r="S16" s="6" t="e">
        <v>#VALUE!</v>
      </c>
      <c r="T16" s="6" t="e">
        <v>#VALUE!</v>
      </c>
      <c r="U16" s="6" t="e">
        <v>#VALUE!</v>
      </c>
    </row>
    <row r="17" spans="1:21" x14ac:dyDescent="0.3">
      <c r="A17" s="112" t="s">
        <v>196</v>
      </c>
      <c r="B17" s="6">
        <v>-319.53262559840857</v>
      </c>
      <c r="C17" s="6">
        <v>-236.49635222140955</v>
      </c>
      <c r="D17" s="6">
        <v>-242.48170877021772</v>
      </c>
      <c r="E17" s="6">
        <v>-340.90407528811181</v>
      </c>
      <c r="F17" s="6">
        <v>-209.43947702575429</v>
      </c>
      <c r="G17" s="6">
        <v>-248.81940984112705</v>
      </c>
      <c r="H17" s="6">
        <v>-250.45238151030924</v>
      </c>
      <c r="I17" s="6">
        <v>-228.88259138071413</v>
      </c>
      <c r="J17" s="6">
        <v>-207.82243941965035</v>
      </c>
      <c r="K17" s="6">
        <v>-270.84144651414965</v>
      </c>
      <c r="L17" s="6">
        <v>-207.92689524725378</v>
      </c>
      <c r="M17" s="6">
        <v>-192.26300470848201</v>
      </c>
      <c r="N17" s="6">
        <v>-157.39594054478033</v>
      </c>
      <c r="O17" s="6">
        <v>-147.55673178862403</v>
      </c>
      <c r="P17" s="6">
        <v>-176.46750708085162</v>
      </c>
      <c r="Q17" s="6">
        <v>-158.61747052143491</v>
      </c>
      <c r="R17" s="6">
        <v>-162.64611773352723</v>
      </c>
      <c r="S17" s="6">
        <v>-167.6658312923025</v>
      </c>
      <c r="T17" s="6">
        <v>-94.122635995293521</v>
      </c>
      <c r="U17" s="6">
        <v>-80.328626899896577</v>
      </c>
    </row>
    <row r="18" spans="1:21" x14ac:dyDescent="0.3">
      <c r="A18" s="112" t="s">
        <v>197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 x14ac:dyDescent="0.3">
      <c r="A19" s="112" t="s">
        <v>198</v>
      </c>
      <c r="B19" s="6">
        <v>0</v>
      </c>
      <c r="C19" s="6">
        <v>0</v>
      </c>
      <c r="D19" s="6">
        <v>0</v>
      </c>
      <c r="E19" s="6">
        <v>0</v>
      </c>
      <c r="F19" s="6" t="e">
        <v>#VALUE!</v>
      </c>
      <c r="G19" s="6">
        <v>0</v>
      </c>
      <c r="H19" s="6">
        <v>0</v>
      </c>
      <c r="I19" s="6">
        <v>0</v>
      </c>
      <c r="J19" s="6" t="e">
        <v>#VALUE!</v>
      </c>
      <c r="K19" s="6" t="e">
        <v>#VALUE!</v>
      </c>
      <c r="L19" s="6">
        <v>0</v>
      </c>
      <c r="M19" s="6">
        <v>0</v>
      </c>
      <c r="N19" s="6" t="e">
        <v>#VALUE!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x14ac:dyDescent="0.3">
      <c r="A20" s="112" t="s">
        <v>199</v>
      </c>
      <c r="B20" s="6">
        <v>0</v>
      </c>
      <c r="C20" s="6">
        <v>0</v>
      </c>
      <c r="D20" s="6">
        <v>0</v>
      </c>
      <c r="E20" s="6">
        <v>0</v>
      </c>
      <c r="F20" s="6" t="e">
        <v>#VALUE!</v>
      </c>
      <c r="G20" s="6">
        <v>0</v>
      </c>
      <c r="H20" s="6">
        <v>0</v>
      </c>
      <c r="I20" s="6">
        <v>0</v>
      </c>
      <c r="J20" s="6" t="e">
        <v>#VALUE!</v>
      </c>
      <c r="K20" s="6" t="e">
        <v>#VALUE!</v>
      </c>
      <c r="L20" s="6">
        <v>0</v>
      </c>
      <c r="M20" s="6">
        <v>0</v>
      </c>
      <c r="N20" s="6" t="e">
        <v>#VALUE!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x14ac:dyDescent="0.3">
      <c r="A21" s="112" t="s">
        <v>200</v>
      </c>
      <c r="B21" s="6">
        <v>-319.53262559840857</v>
      </c>
      <c r="C21" s="6">
        <v>-236.49635222140955</v>
      </c>
      <c r="D21" s="6">
        <v>-242.48170877021772</v>
      </c>
      <c r="E21" s="6">
        <v>-340.90407528811181</v>
      </c>
      <c r="F21" s="6">
        <v>-209.43947702575429</v>
      </c>
      <c r="G21" s="6">
        <v>-248.81940984112705</v>
      </c>
      <c r="H21" s="6">
        <v>-250.45238151030924</v>
      </c>
      <c r="I21" s="6">
        <v>-228.88259138071413</v>
      </c>
      <c r="J21" s="6">
        <v>-207.82243941965035</v>
      </c>
      <c r="K21" s="6">
        <v>-270.84144651414965</v>
      </c>
      <c r="L21" s="6">
        <v>-207.92689524725378</v>
      </c>
      <c r="M21" s="6">
        <v>-192.26300470848201</v>
      </c>
      <c r="N21" s="6">
        <v>-157.39594054478033</v>
      </c>
      <c r="O21" s="6">
        <v>-147.55673178862403</v>
      </c>
      <c r="P21" s="6">
        <v>-176.46750708085162</v>
      </c>
      <c r="Q21" s="6">
        <v>-158.61747052143491</v>
      </c>
      <c r="R21" s="6">
        <v>-162.64611773352723</v>
      </c>
      <c r="S21" s="6">
        <v>-167.6658312923025</v>
      </c>
      <c r="T21" s="6">
        <v>-94.122635995293521</v>
      </c>
      <c r="U21" s="6">
        <v>-80.328626899896577</v>
      </c>
    </row>
    <row r="22" spans="1:21" x14ac:dyDescent="0.3">
      <c r="A22" s="112" t="s">
        <v>201</v>
      </c>
      <c r="B22" s="6">
        <v>-319.53262559840857</v>
      </c>
      <c r="C22" s="6">
        <v>-236.49635222140955</v>
      </c>
      <c r="D22" s="6">
        <v>-242.48170877021772</v>
      </c>
      <c r="E22" s="6">
        <v>-340.90407528811181</v>
      </c>
      <c r="F22" s="6">
        <v>-209.43947702575429</v>
      </c>
      <c r="G22" s="6">
        <v>-248.81940984112705</v>
      </c>
      <c r="H22" s="6">
        <v>-250.45238151030924</v>
      </c>
      <c r="I22" s="6">
        <v>-228.88259138071413</v>
      </c>
      <c r="J22" s="6">
        <v>-207.82243941965035</v>
      </c>
      <c r="K22" s="6">
        <v>-270.84144651414965</v>
      </c>
      <c r="L22" s="6">
        <v>-207.92689524725378</v>
      </c>
      <c r="M22" s="6">
        <v>-192.26300470848201</v>
      </c>
      <c r="N22" s="6">
        <v>-157.39594054478033</v>
      </c>
      <c r="O22" s="6">
        <v>-147.55673178862403</v>
      </c>
      <c r="P22" s="6">
        <v>-176.46750708085162</v>
      </c>
      <c r="Q22" s="6">
        <v>-158.61747052143491</v>
      </c>
      <c r="R22" s="6">
        <v>-162.64611773352723</v>
      </c>
      <c r="S22" s="6">
        <v>-167.6658312923025</v>
      </c>
      <c r="T22" s="6">
        <v>-94.122635995293521</v>
      </c>
      <c r="U22" s="6">
        <v>-80.328626899896577</v>
      </c>
    </row>
    <row r="23" spans="1:21" x14ac:dyDescent="0.3">
      <c r="A23" s="112" t="s">
        <v>202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x14ac:dyDescent="0.3">
      <c r="A24" s="112" t="s">
        <v>203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x14ac:dyDescent="0.3">
      <c r="A25" s="112" t="s">
        <v>204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x14ac:dyDescent="0.3">
      <c r="A26" s="112" t="s">
        <v>205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x14ac:dyDescent="0.3">
      <c r="A27" s="112" t="s">
        <v>206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x14ac:dyDescent="0.3">
      <c r="A28" s="112" t="s">
        <v>207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 x14ac:dyDescent="0.3">
      <c r="A29" s="112" t="s">
        <v>208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x14ac:dyDescent="0.3">
      <c r="A30" s="112" t="s">
        <v>209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x14ac:dyDescent="0.3">
      <c r="A31" s="112" t="s">
        <v>210</v>
      </c>
      <c r="B31" s="6">
        <v>27.247747494389152</v>
      </c>
      <c r="C31" s="6">
        <v>73.873701182633241</v>
      </c>
      <c r="D31" s="6">
        <v>10.234617577963734</v>
      </c>
      <c r="E31" s="6">
        <v>0.10274384427007589</v>
      </c>
      <c r="F31" s="6">
        <v>264.49325910642494</v>
      </c>
      <c r="G31" s="6">
        <v>-342.67490991045941</v>
      </c>
      <c r="H31" s="6">
        <v>-234.81698350205244</v>
      </c>
      <c r="I31" s="6">
        <v>127.26778546476146</v>
      </c>
      <c r="J31" s="6">
        <v>59.091050603571311</v>
      </c>
      <c r="K31" s="6">
        <v>-190.83704398469484</v>
      </c>
      <c r="L31" s="6">
        <v>221.06488248534265</v>
      </c>
      <c r="M31" s="6">
        <v>140.38794644786753</v>
      </c>
      <c r="N31" s="6">
        <v>61.59305080772836</v>
      </c>
      <c r="O31" s="6">
        <v>44.911830458021228</v>
      </c>
      <c r="P31" s="6">
        <v>-51.611845962355197</v>
      </c>
      <c r="Q31" s="6">
        <v>-101.24672936377306</v>
      </c>
      <c r="R31" s="6">
        <v>-3.6361126922370661</v>
      </c>
      <c r="S31" s="6">
        <v>-258.24946652212077</v>
      </c>
      <c r="T31" s="6">
        <v>0.55983724012070502</v>
      </c>
      <c r="U31" s="6">
        <v>7.1608043397083438</v>
      </c>
    </row>
    <row r="32" spans="1:21" x14ac:dyDescent="0.3">
      <c r="A32" s="112" t="s">
        <v>194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x14ac:dyDescent="0.3">
      <c r="A33" s="112" t="s">
        <v>195</v>
      </c>
      <c r="B33" s="6">
        <v>-292.28487810401941</v>
      </c>
      <c r="C33" s="6">
        <v>-162.62265103877633</v>
      </c>
      <c r="D33" s="6">
        <v>-232.24709119225395</v>
      </c>
      <c r="E33" s="6">
        <v>-340.80133144384172</v>
      </c>
      <c r="F33" s="6">
        <v>55.053782080670686</v>
      </c>
      <c r="G33" s="6">
        <v>-591.49431975158643</v>
      </c>
      <c r="H33" s="6">
        <v>-485.26936501236162</v>
      </c>
      <c r="I33" s="6">
        <v>-101.6148059159527</v>
      </c>
      <c r="J33" s="6">
        <v>-148.73138881607906</v>
      </c>
      <c r="K33" s="6">
        <v>-461.6784904988445</v>
      </c>
      <c r="L33" s="6">
        <v>13.137987238088874</v>
      </c>
      <c r="M33" s="6">
        <v>-51.875058260614466</v>
      </c>
      <c r="N33" s="6">
        <v>-95.802889737051984</v>
      </c>
      <c r="O33" s="6">
        <v>-102.64490133060279</v>
      </c>
      <c r="P33" s="6">
        <v>-228.07935304320679</v>
      </c>
      <c r="Q33" s="6">
        <v>-259.864199885208</v>
      </c>
      <c r="R33" s="6">
        <v>-166.28223042576431</v>
      </c>
      <c r="S33" s="6">
        <v>-425.91529781442324</v>
      </c>
      <c r="T33" s="6">
        <v>-93.562798755172821</v>
      </c>
      <c r="U33" s="6">
        <v>-73.167822560188227</v>
      </c>
    </row>
    <row r="34" spans="1:21" x14ac:dyDescent="0.3">
      <c r="A34" s="112"/>
      <c r="B34" s="6" t="e">
        <v>#VALUE!</v>
      </c>
      <c r="C34" s="6" t="e">
        <v>#VALUE!</v>
      </c>
      <c r="D34" s="6" t="e">
        <v>#VALUE!</v>
      </c>
      <c r="E34" s="6" t="e">
        <v>#VALUE!</v>
      </c>
      <c r="F34" s="6" t="e">
        <v>#VALUE!</v>
      </c>
      <c r="G34" s="6" t="e">
        <v>#VALUE!</v>
      </c>
      <c r="H34" s="6" t="e">
        <v>#VALUE!</v>
      </c>
      <c r="I34" s="6" t="e">
        <v>#VALUE!</v>
      </c>
      <c r="J34" s="6" t="e">
        <v>#VALUE!</v>
      </c>
      <c r="K34" s="6" t="e">
        <v>#VALUE!</v>
      </c>
      <c r="L34" s="6" t="e">
        <v>#VALUE!</v>
      </c>
      <c r="M34" s="6" t="e">
        <v>#VALUE!</v>
      </c>
      <c r="N34" s="6" t="e">
        <v>#VALUE!</v>
      </c>
      <c r="O34" s="6" t="e">
        <v>#VALUE!</v>
      </c>
      <c r="P34" s="6" t="e">
        <v>#VALUE!</v>
      </c>
      <c r="Q34" s="6" t="e">
        <v>#VALUE!</v>
      </c>
      <c r="R34" s="6" t="e">
        <v>#VALUE!</v>
      </c>
      <c r="S34" s="6" t="e">
        <v>#VALUE!</v>
      </c>
      <c r="T34" s="6" t="e">
        <v>#VALUE!</v>
      </c>
      <c r="U34" s="6" t="e">
        <v>#VALUE!</v>
      </c>
    </row>
    <row r="35" spans="1:21" x14ac:dyDescent="0.3">
      <c r="A35" s="118" t="s">
        <v>211</v>
      </c>
      <c r="B35" s="6" t="e">
        <v>#VALUE!</v>
      </c>
      <c r="C35" s="6" t="e">
        <v>#VALUE!</v>
      </c>
      <c r="D35" s="6" t="e">
        <v>#VALUE!</v>
      </c>
      <c r="E35" s="6" t="e">
        <v>#VALUE!</v>
      </c>
      <c r="F35" s="6" t="e">
        <v>#VALUE!</v>
      </c>
      <c r="G35" s="6" t="e">
        <v>#VALUE!</v>
      </c>
      <c r="H35" s="6" t="e">
        <v>#VALUE!</v>
      </c>
      <c r="I35" s="6" t="e">
        <v>#VALUE!</v>
      </c>
      <c r="J35" s="6" t="e">
        <v>#VALUE!</v>
      </c>
      <c r="K35" s="6" t="e">
        <v>#VALUE!</v>
      </c>
      <c r="L35" s="6" t="e">
        <v>#VALUE!</v>
      </c>
      <c r="M35" s="6" t="e">
        <v>#VALUE!</v>
      </c>
      <c r="N35" s="6" t="e">
        <v>#VALUE!</v>
      </c>
      <c r="O35" s="6" t="e">
        <v>#VALUE!</v>
      </c>
      <c r="P35" s="6" t="e">
        <v>#VALUE!</v>
      </c>
      <c r="Q35" s="6" t="e">
        <v>#VALUE!</v>
      </c>
      <c r="R35" s="6" t="e">
        <v>#VALUE!</v>
      </c>
      <c r="S35" s="6" t="e">
        <v>#VALUE!</v>
      </c>
      <c r="T35" s="6" t="e">
        <v>#VALUE!</v>
      </c>
      <c r="U35" s="6" t="e">
        <v>#VALUE!</v>
      </c>
    </row>
    <row r="36" spans="1:21" x14ac:dyDescent="0.3">
      <c r="A36" s="112" t="s">
        <v>212</v>
      </c>
      <c r="B36" s="6">
        <v>-556.31655677658728</v>
      </c>
      <c r="C36" s="6">
        <v>-552.79640340745959</v>
      </c>
      <c r="D36" s="6">
        <v>-461.34506928359599</v>
      </c>
      <c r="E36" s="6">
        <v>0</v>
      </c>
      <c r="F36" s="6">
        <v>-605.88548428638467</v>
      </c>
      <c r="G36" s="6">
        <v>-753.47546317342471</v>
      </c>
      <c r="H36" s="6">
        <v>-737.05647562093679</v>
      </c>
      <c r="I36" s="6">
        <v>-700.78863919378261</v>
      </c>
      <c r="J36" s="6">
        <v>-674.79012144196429</v>
      </c>
      <c r="K36" s="6">
        <v>-359.97324304580064</v>
      </c>
      <c r="L36" s="6">
        <v>-528.98645837805066</v>
      </c>
      <c r="M36" s="6">
        <v>-827.26165516597064</v>
      </c>
      <c r="N36" s="6">
        <v>-592.99610933318559</v>
      </c>
      <c r="O36" s="6">
        <v>-579.65502716354285</v>
      </c>
      <c r="P36" s="6">
        <v>-505.08470352470812</v>
      </c>
      <c r="Q36" s="6">
        <v>-390.48186214353245</v>
      </c>
      <c r="R36" s="6">
        <v>-324.31328204991371</v>
      </c>
      <c r="S36" s="6">
        <v>-266.30899908629476</v>
      </c>
      <c r="T36" s="6">
        <v>-216.37709330665248</v>
      </c>
      <c r="U36" s="6">
        <v>-109.60993573454554</v>
      </c>
    </row>
    <row r="37" spans="1:21" x14ac:dyDescent="0.3">
      <c r="A37" s="112" t="s">
        <v>213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-279.41002047539513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-283.5962114735978</v>
      </c>
    </row>
    <row r="38" spans="1:21" x14ac:dyDescent="0.3">
      <c r="A38" s="112" t="s">
        <v>214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x14ac:dyDescent="0.3">
      <c r="A39" s="112" t="s">
        <v>215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</row>
    <row r="40" spans="1:21" x14ac:dyDescent="0.3">
      <c r="A40" s="112" t="s">
        <v>216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-279.41002047539513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-283.5962114735978</v>
      </c>
    </row>
    <row r="41" spans="1:21" x14ac:dyDescent="0.3">
      <c r="A41" s="112" t="s">
        <v>217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</row>
    <row r="42" spans="1:21" x14ac:dyDescent="0.3">
      <c r="A42" s="112" t="s">
        <v>218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x14ac:dyDescent="0.3">
      <c r="A43" s="112" t="s">
        <v>219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 x14ac:dyDescent="0.3">
      <c r="A44" s="112" t="s">
        <v>220</v>
      </c>
      <c r="B44" s="6">
        <v>991.57670033087027</v>
      </c>
      <c r="C44" s="6">
        <v>-4.1208459163101532</v>
      </c>
      <c r="D44" s="6">
        <v>-2.1650152568769436</v>
      </c>
      <c r="E44" s="6">
        <v>0</v>
      </c>
      <c r="F44" s="6">
        <v>-1.5673674613714073</v>
      </c>
      <c r="G44" s="6">
        <v>-2.4365394618206722</v>
      </c>
      <c r="H44" s="6">
        <v>-1.9067558546654682</v>
      </c>
      <c r="I44" s="6">
        <v>-2.4474574127838742</v>
      </c>
      <c r="J44" s="6">
        <v>-1.3965388621228081</v>
      </c>
      <c r="K44" s="6">
        <v>-1.1176400819015804</v>
      </c>
      <c r="L44" s="6">
        <v>-0.27370806746018489</v>
      </c>
      <c r="M44" s="6">
        <v>-1.7120481274130186</v>
      </c>
      <c r="N44" s="6">
        <v>-1.3039624704002271</v>
      </c>
      <c r="O44" s="6">
        <v>-1.5745382965249515</v>
      </c>
      <c r="P44" s="6">
        <v>-1.1614480104046179</v>
      </c>
      <c r="Q44" s="6">
        <v>-1.0103023600091394</v>
      </c>
      <c r="R44" s="6">
        <v>-0.90902817305926653</v>
      </c>
      <c r="S44" s="6">
        <v>-1.1021582993742154</v>
      </c>
      <c r="T44" s="6">
        <v>0.20993896504526438</v>
      </c>
      <c r="U44" s="6">
        <v>-0.14179810573679891</v>
      </c>
    </row>
    <row r="45" spans="1:21" x14ac:dyDescent="0.3">
      <c r="A45" s="112" t="s">
        <v>194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x14ac:dyDescent="0.3">
      <c r="A46" s="112" t="s">
        <v>211</v>
      </c>
      <c r="B46" s="6">
        <v>435.26014355428276</v>
      </c>
      <c r="C46" s="6">
        <v>-556.91724932376985</v>
      </c>
      <c r="D46" s="6">
        <v>-463.51008454047292</v>
      </c>
      <c r="E46" s="6">
        <v>0</v>
      </c>
      <c r="F46" s="6">
        <v>-607.45285174775609</v>
      </c>
      <c r="G46" s="6">
        <v>-755.91200263524536</v>
      </c>
      <c r="H46" s="6">
        <v>-738.96323147560224</v>
      </c>
      <c r="I46" s="6">
        <v>-703.23609660656643</v>
      </c>
      <c r="J46" s="6">
        <v>-676.18666030408713</v>
      </c>
      <c r="K46" s="6">
        <v>-640.50090360309741</v>
      </c>
      <c r="L46" s="6">
        <v>-529.26016644551078</v>
      </c>
      <c r="M46" s="6">
        <v>-828.97370329338366</v>
      </c>
      <c r="N46" s="6">
        <v>-594.30007180358575</v>
      </c>
      <c r="O46" s="6">
        <v>-581.22956546006776</v>
      </c>
      <c r="P46" s="6">
        <v>-506.24615153511269</v>
      </c>
      <c r="Q46" s="6">
        <v>-391.49216450354157</v>
      </c>
      <c r="R46" s="6">
        <v>-325.22231022297296</v>
      </c>
      <c r="S46" s="6">
        <v>-267.41115738566896</v>
      </c>
      <c r="T46" s="6">
        <v>-216.16715434160722</v>
      </c>
      <c r="U46" s="6">
        <v>-393.34794531388007</v>
      </c>
    </row>
    <row r="47" spans="1:21" x14ac:dyDescent="0.3">
      <c r="A47" s="112"/>
      <c r="B47" s="6" t="e">
        <v>#VALUE!</v>
      </c>
      <c r="C47" s="6" t="e">
        <v>#VALUE!</v>
      </c>
      <c r="D47" s="6" t="e">
        <v>#VALUE!</v>
      </c>
      <c r="E47" s="6" t="e">
        <v>#VALUE!</v>
      </c>
      <c r="F47" s="6" t="e">
        <v>#VALUE!</v>
      </c>
      <c r="G47" s="6" t="e">
        <v>#VALUE!</v>
      </c>
      <c r="H47" s="6" t="e">
        <v>#VALUE!</v>
      </c>
      <c r="I47" s="6" t="e">
        <v>#VALUE!</v>
      </c>
      <c r="J47" s="6" t="e">
        <v>#VALUE!</v>
      </c>
      <c r="K47" s="6" t="e">
        <v>#VALUE!</v>
      </c>
      <c r="L47" s="6" t="e">
        <v>#VALUE!</v>
      </c>
      <c r="M47" s="6" t="e">
        <v>#VALUE!</v>
      </c>
      <c r="N47" s="6" t="e">
        <v>#VALUE!</v>
      </c>
      <c r="O47" s="6" t="e">
        <v>#VALUE!</v>
      </c>
      <c r="P47" s="6" t="e">
        <v>#VALUE!</v>
      </c>
      <c r="Q47" s="6" t="e">
        <v>#VALUE!</v>
      </c>
      <c r="R47" s="6" t="e">
        <v>#VALUE!</v>
      </c>
      <c r="S47" s="6" t="e">
        <v>#VALUE!</v>
      </c>
      <c r="T47" s="6" t="e">
        <v>#VALUE!</v>
      </c>
      <c r="U47" s="6" t="e">
        <v>#VALUE!</v>
      </c>
    </row>
    <row r="48" spans="1:21" x14ac:dyDescent="0.3">
      <c r="A48" s="112" t="s">
        <v>221</v>
      </c>
      <c r="B48" s="6">
        <v>-5.4294404601365844</v>
      </c>
      <c r="C48" s="6">
        <v>-41.509984474051059</v>
      </c>
      <c r="D48" s="6">
        <v>46.351008454047296</v>
      </c>
      <c r="E48" s="6">
        <v>-7.5003006317155396</v>
      </c>
      <c r="F48" s="6">
        <v>4.800062850449935</v>
      </c>
      <c r="G48" s="6">
        <v>25.242548824462162</v>
      </c>
      <c r="H48" s="6">
        <v>2.2881070255985616</v>
      </c>
      <c r="I48" s="6">
        <v>-9.0646570843847183</v>
      </c>
      <c r="J48" s="6">
        <v>-8.7283678882675488</v>
      </c>
      <c r="K48" s="6">
        <v>-12.294040900917384</v>
      </c>
      <c r="L48" s="6">
        <v>42.880930568762295</v>
      </c>
      <c r="M48" s="6">
        <v>-12.840360955597641</v>
      </c>
      <c r="N48" s="6">
        <v>-58.14138544490423</v>
      </c>
      <c r="O48" s="6">
        <v>19.944151755982716</v>
      </c>
      <c r="P48" s="6">
        <v>-14.22773812745657</v>
      </c>
      <c r="Q48" s="6">
        <v>-23.020460917351105</v>
      </c>
      <c r="R48" s="6">
        <v>2.7970097632592816</v>
      </c>
      <c r="S48" s="6">
        <v>-35.131295792553111</v>
      </c>
      <c r="T48" s="6">
        <v>-10.007090667157604</v>
      </c>
      <c r="U48" s="6">
        <v>-2.9068611676043772</v>
      </c>
    </row>
    <row r="49" spans="1:21" x14ac:dyDescent="0.3">
      <c r="A49" s="112"/>
      <c r="B49" s="6" t="e">
        <v>#VALUE!</v>
      </c>
      <c r="C49" s="6" t="e">
        <v>#VALUE!</v>
      </c>
      <c r="D49" s="6" t="e">
        <v>#VALUE!</v>
      </c>
      <c r="E49" s="6" t="e">
        <v>#VALUE!</v>
      </c>
      <c r="F49" s="6" t="e">
        <v>#VALUE!</v>
      </c>
      <c r="G49" s="6" t="e">
        <v>#VALUE!</v>
      </c>
      <c r="H49" s="6" t="e">
        <v>#VALUE!</v>
      </c>
      <c r="I49" s="6" t="e">
        <v>#VALUE!</v>
      </c>
      <c r="J49" s="6" t="e">
        <v>#VALUE!</v>
      </c>
      <c r="K49" s="6" t="e">
        <v>#VALUE!</v>
      </c>
      <c r="L49" s="6" t="e">
        <v>#VALUE!</v>
      </c>
      <c r="M49" s="6" t="e">
        <v>#VALUE!</v>
      </c>
      <c r="N49" s="6" t="e">
        <v>#VALUE!</v>
      </c>
      <c r="O49" s="6" t="e">
        <v>#VALUE!</v>
      </c>
      <c r="P49" s="6" t="e">
        <v>#VALUE!</v>
      </c>
      <c r="Q49" s="6" t="e">
        <v>#VALUE!</v>
      </c>
      <c r="R49" s="6" t="e">
        <v>#VALUE!</v>
      </c>
      <c r="S49" s="6" t="e">
        <v>#VALUE!</v>
      </c>
      <c r="T49" s="6" t="e">
        <v>#VALUE!</v>
      </c>
      <c r="U49" s="6" t="e">
        <v>#VALUE!</v>
      </c>
    </row>
    <row r="50" spans="1:21" x14ac:dyDescent="0.3">
      <c r="A50" s="112" t="s">
        <v>222</v>
      </c>
      <c r="B50" s="6">
        <v>862.87885238689182</v>
      </c>
      <c r="C50" s="6">
        <v>606.36740031949159</v>
      </c>
      <c r="D50" s="6">
        <v>767.1042694252626</v>
      </c>
      <c r="E50" s="6">
        <v>640.19689364684291</v>
      </c>
      <c r="F50" s="6">
        <v>98.646189600062939</v>
      </c>
      <c r="G50" s="6">
        <v>-794.89663402437611</v>
      </c>
      <c r="H50" s="6">
        <v>-221.08834134846103</v>
      </c>
      <c r="I50" s="6">
        <v>-91.371743410597958</v>
      </c>
      <c r="J50" s="6">
        <v>200.83974510903633</v>
      </c>
      <c r="K50" s="6">
        <v>-106.92090116858451</v>
      </c>
      <c r="L50" s="6">
        <v>65.142520055524002</v>
      </c>
      <c r="M50" s="6">
        <v>-628.40726516694849</v>
      </c>
      <c r="N50" s="6">
        <v>-118.7372884811501</v>
      </c>
      <c r="O50" s="6">
        <v>256.57476431944684</v>
      </c>
      <c r="P50" s="6">
        <v>137.48640823164664</v>
      </c>
      <c r="Q50" s="6">
        <v>91.648856943686226</v>
      </c>
      <c r="R50" s="6">
        <v>58.527429296200467</v>
      </c>
      <c r="S50" s="6">
        <v>26.314029397559388</v>
      </c>
      <c r="T50" s="6">
        <v>235.55151878078664</v>
      </c>
      <c r="U50" s="6">
        <v>-172.14290036447389</v>
      </c>
    </row>
    <row r="51" spans="1:21" x14ac:dyDescent="0.3">
      <c r="A51" s="112"/>
      <c r="B51" s="6" t="e">
        <v>#VALUE!</v>
      </c>
      <c r="C51" s="6" t="e">
        <v>#VALUE!</v>
      </c>
      <c r="D51" s="6" t="e">
        <v>#VALUE!</v>
      </c>
      <c r="E51" s="6" t="e">
        <v>#VALUE!</v>
      </c>
      <c r="F51" s="6" t="e">
        <v>#VALUE!</v>
      </c>
      <c r="G51" s="6" t="e">
        <v>#VALUE!</v>
      </c>
      <c r="H51" s="6" t="e">
        <v>#VALUE!</v>
      </c>
      <c r="I51" s="6" t="e">
        <v>#VALUE!</v>
      </c>
      <c r="J51" s="6" t="e">
        <v>#VALUE!</v>
      </c>
      <c r="K51" s="6" t="e">
        <v>#VALUE!</v>
      </c>
      <c r="L51" s="6" t="e">
        <v>#VALUE!</v>
      </c>
      <c r="M51" s="6" t="e">
        <v>#VALUE!</v>
      </c>
      <c r="N51" s="6" t="e">
        <v>#VALUE!</v>
      </c>
      <c r="O51" s="6" t="e">
        <v>#VALUE!</v>
      </c>
      <c r="P51" s="6" t="e">
        <v>#VALUE!</v>
      </c>
      <c r="Q51" s="6" t="e">
        <v>#VALUE!</v>
      </c>
      <c r="R51" s="6" t="e">
        <v>#VALUE!</v>
      </c>
      <c r="S51" s="6" t="e">
        <v>#VALUE!</v>
      </c>
      <c r="T51" s="6" t="e">
        <v>#VALUE!</v>
      </c>
      <c r="U51" s="6" t="e">
        <v>#VALUE!</v>
      </c>
    </row>
    <row r="52" spans="1:21" x14ac:dyDescent="0.3">
      <c r="A52" s="112"/>
      <c r="B52" s="6" t="e">
        <v>#VALUE!</v>
      </c>
      <c r="C52" s="6" t="e">
        <v>#VALUE!</v>
      </c>
      <c r="D52" s="6" t="e">
        <v>#VALUE!</v>
      </c>
      <c r="E52" s="6" t="e">
        <v>#VALUE!</v>
      </c>
      <c r="F52" s="6" t="e">
        <v>#VALUE!</v>
      </c>
      <c r="G52" s="6" t="e">
        <v>#VALUE!</v>
      </c>
      <c r="H52" s="6" t="e">
        <v>#VALUE!</v>
      </c>
      <c r="I52" s="6" t="e">
        <v>#VALUE!</v>
      </c>
      <c r="J52" s="6" t="e">
        <v>#VALUE!</v>
      </c>
      <c r="K52" s="6" t="e">
        <v>#VALUE!</v>
      </c>
      <c r="L52" s="6" t="e">
        <v>#VALUE!</v>
      </c>
      <c r="M52" s="6" t="e">
        <v>#VALUE!</v>
      </c>
      <c r="N52" s="6" t="e">
        <v>#VALUE!</v>
      </c>
      <c r="O52" s="6" t="e">
        <v>#VALUE!</v>
      </c>
      <c r="P52" s="6" t="e">
        <v>#VALUE!</v>
      </c>
      <c r="Q52" s="6" t="e">
        <v>#VALUE!</v>
      </c>
      <c r="R52" s="6" t="e">
        <v>#VALUE!</v>
      </c>
      <c r="S52" s="6" t="e">
        <v>#VALUE!</v>
      </c>
      <c r="T52" s="6" t="e">
        <v>#VALUE!</v>
      </c>
      <c r="U52" s="6" t="e">
        <v>#VALUE!</v>
      </c>
    </row>
    <row r="53" spans="1:21" x14ac:dyDescent="0.3">
      <c r="A53" s="112" t="s">
        <v>87</v>
      </c>
      <c r="B53" s="6" t="e">
        <v>#VALUE!</v>
      </c>
      <c r="C53" s="6" t="e">
        <v>#VALUE!</v>
      </c>
      <c r="D53" s="6" t="e">
        <v>#VALUE!</v>
      </c>
      <c r="E53" s="6" t="e">
        <v>#VALUE!</v>
      </c>
      <c r="F53" s="6" t="e">
        <v>#VALUE!</v>
      </c>
      <c r="G53" s="6" t="e">
        <v>#VALUE!</v>
      </c>
      <c r="H53" s="6" t="e">
        <v>#VALUE!</v>
      </c>
      <c r="I53" s="6" t="e">
        <v>#VALUE!</v>
      </c>
      <c r="J53" s="6" t="e">
        <v>#VALUE!</v>
      </c>
      <c r="K53" s="6" t="e">
        <v>#VALUE!</v>
      </c>
      <c r="L53" s="6" t="e">
        <v>#VALUE!</v>
      </c>
      <c r="M53" s="6" t="e">
        <v>#VALUE!</v>
      </c>
      <c r="N53" s="6" t="e">
        <v>#VALUE!</v>
      </c>
      <c r="O53" s="6" t="e">
        <v>#VALUE!</v>
      </c>
      <c r="P53" s="6" t="e">
        <v>#VALUE!</v>
      </c>
      <c r="Q53" s="6" t="e">
        <v>#VALUE!</v>
      </c>
      <c r="R53" s="6" t="e">
        <v>#VALUE!</v>
      </c>
      <c r="S53" s="6" t="e">
        <v>#VALUE!</v>
      </c>
      <c r="T53" s="6" t="e">
        <v>#VALUE!</v>
      </c>
      <c r="U53" s="6" t="e">
        <v>#VALUE!</v>
      </c>
    </row>
    <row r="54" spans="1:21" x14ac:dyDescent="0.3">
      <c r="A54" s="112" t="s">
        <v>89</v>
      </c>
      <c r="B54" s="6">
        <v>1797.8486086611526</v>
      </c>
      <c r="C54" s="6">
        <v>1558.0817901131709</v>
      </c>
      <c r="D54" s="6">
        <v>1665.2903716759836</v>
      </c>
      <c r="E54" s="6">
        <v>1866.7529065430085</v>
      </c>
      <c r="F54" s="6">
        <v>1398.0917755432954</v>
      </c>
      <c r="G54" s="6">
        <v>1077.2428268601557</v>
      </c>
      <c r="H54" s="6">
        <v>1249.5924493550147</v>
      </c>
      <c r="I54" s="6">
        <v>1032.4644419114195</v>
      </c>
      <c r="J54" s="6">
        <v>1384.7555654736468</v>
      </c>
      <c r="K54" s="6">
        <v>1488.0446323784624</v>
      </c>
      <c r="L54" s="6">
        <v>919.75034268870786</v>
      </c>
      <c r="M54" s="6">
        <v>895.82918266886213</v>
      </c>
      <c r="N54" s="6">
        <v>1300.5108050374026</v>
      </c>
      <c r="O54" s="6">
        <v>1319.3131364596686</v>
      </c>
      <c r="P54" s="6">
        <v>1262.9295303137212</v>
      </c>
      <c r="Q54" s="6">
        <v>1370.6916447152571</v>
      </c>
      <c r="R54" s="6">
        <v>1105.3083331959865</v>
      </c>
      <c r="S54" s="6">
        <v>886.82412163397805</v>
      </c>
      <c r="T54" s="6">
        <v>817.99218747136513</v>
      </c>
      <c r="U54" s="6">
        <v>566.97972578859037</v>
      </c>
    </row>
    <row r="55" spans="1:21" x14ac:dyDescent="0.3">
      <c r="A55" s="112" t="s">
        <v>223</v>
      </c>
      <c r="B55" s="6">
        <v>0.3776588009939057</v>
      </c>
      <c r="C55" s="6">
        <v>0.37409064339794479</v>
      </c>
      <c r="D55" s="6">
        <v>0.36399054050852098</v>
      </c>
      <c r="E55" s="6">
        <v>0.35479319868801756</v>
      </c>
      <c r="F55" s="6">
        <v>0.3386190126071415</v>
      </c>
      <c r="G55" s="6">
        <v>0.34259179181069677</v>
      </c>
      <c r="H55" s="6">
        <v>0.35649923222086871</v>
      </c>
      <c r="I55" s="6">
        <v>0.3490310397840245</v>
      </c>
      <c r="J55" s="6">
        <v>0.34276422506015758</v>
      </c>
      <c r="K55" s="6">
        <v>0.35094404332497714</v>
      </c>
      <c r="L55" s="6">
        <v>0.36144626352873344</v>
      </c>
      <c r="M55" s="6">
        <v>0.38915923680131764</v>
      </c>
      <c r="N55" s="6">
        <v>0.41896069964131188</v>
      </c>
      <c r="O55" s="6">
        <v>0.42090035569191159</v>
      </c>
      <c r="P55" s="6">
        <v>0.41016773841140802</v>
      </c>
      <c r="Q55" s="6">
        <v>0.39501919750904679</v>
      </c>
      <c r="R55" s="6">
        <v>0.36250835866370701</v>
      </c>
      <c r="S55" s="6">
        <v>0.33123180447453987</v>
      </c>
      <c r="T55" s="6">
        <v>0.31407176834372758</v>
      </c>
      <c r="U55" s="6">
        <v>0.30519500211155659</v>
      </c>
    </row>
    <row r="56" spans="1:21" x14ac:dyDescent="0.3">
      <c r="A56" s="112" t="s">
        <v>224</v>
      </c>
      <c r="B56" s="6">
        <v>405.80040179835652</v>
      </c>
      <c r="C56" s="6">
        <v>1130.9209329346793</v>
      </c>
      <c r="D56" s="6">
        <v>1174.0287279337244</v>
      </c>
      <c r="E56" s="6">
        <v>647.59445043428821</v>
      </c>
      <c r="F56" s="6">
        <v>436.80571939094409</v>
      </c>
      <c r="G56" s="6">
        <v>278.44772969686642</v>
      </c>
      <c r="H56" s="6">
        <v>750.40376660359482</v>
      </c>
      <c r="I56" s="6">
        <v>493.66122481559182</v>
      </c>
      <c r="J56" s="6">
        <v>826.66372269781971</v>
      </c>
      <c r="K56" s="6">
        <v>736.71108732012499</v>
      </c>
      <c r="L56" s="6">
        <v>330.45687344692993</v>
      </c>
      <c r="M56" s="6">
        <v>73.018852634165228</v>
      </c>
      <c r="N56" s="6">
        <v>472.11111795961159</v>
      </c>
      <c r="O56" s="6">
        <v>772.94834756551063</v>
      </c>
      <c r="P56" s="6">
        <v>709.57214385657107</v>
      </c>
      <c r="Q56" s="6">
        <v>607.40821172835206</v>
      </c>
      <c r="R56" s="6">
        <v>384.58884244815124</v>
      </c>
      <c r="S56" s="6">
        <v>587.10594909790223</v>
      </c>
      <c r="T56" s="6">
        <v>461.16592654943076</v>
      </c>
      <c r="U56" s="6">
        <v>216.95110177730228</v>
      </c>
    </row>
    <row r="57" spans="1:21" x14ac:dyDescent="0.3">
      <c r="A57" s="112" t="s">
        <v>225</v>
      </c>
      <c r="B57" s="6">
        <v>464.90331483403986</v>
      </c>
      <c r="C57" s="6">
        <v>1187.177124394324</v>
      </c>
      <c r="D57" s="6">
        <v>1225.6339787325101</v>
      </c>
      <c r="E57" s="6">
        <v>707.71589765018996</v>
      </c>
      <c r="F57" s="6">
        <v>486.76856682540728</v>
      </c>
      <c r="G57" s="6">
        <v>322.40032801843734</v>
      </c>
      <c r="H57" s="6">
        <v>797.9144382178921</v>
      </c>
      <c r="I57" s="6">
        <v>541.93775605850703</v>
      </c>
      <c r="J57" s="6">
        <v>872.22449663326654</v>
      </c>
      <c r="K57" s="6">
        <v>787.35561184047049</v>
      </c>
      <c r="L57" s="6">
        <v>383.85727480319804</v>
      </c>
      <c r="M57" s="6">
        <v>116.39992874368464</v>
      </c>
      <c r="N57" s="6">
        <v>509.94188363164949</v>
      </c>
      <c r="O57" s="6">
        <v>812.11840095770901</v>
      </c>
      <c r="P57" s="6">
        <v>749.14720034049412</v>
      </c>
      <c r="Q57" s="6">
        <v>645.41684589888143</v>
      </c>
      <c r="R57" s="6">
        <v>422.14009514789734</v>
      </c>
      <c r="S57" s="6">
        <v>623.79387427261531</v>
      </c>
      <c r="T57" s="6">
        <v>498.53763419388434</v>
      </c>
      <c r="U57" s="6">
        <v>252.24733296205684</v>
      </c>
    </row>
    <row r="58" spans="1:21" x14ac:dyDescent="0.3">
      <c r="A58" s="112" t="s">
        <v>226</v>
      </c>
      <c r="B58" s="6">
        <v>405.80040179835652</v>
      </c>
      <c r="C58" s="6">
        <v>1130.9209329346793</v>
      </c>
      <c r="D58" s="6">
        <v>1174.0287279337244</v>
      </c>
      <c r="E58" s="6">
        <v>647.59445043428821</v>
      </c>
      <c r="F58" s="6">
        <v>436.80571939094409</v>
      </c>
      <c r="G58" s="6">
        <v>278.44772969686642</v>
      </c>
      <c r="H58" s="6">
        <v>750.40376660359482</v>
      </c>
      <c r="I58" s="6">
        <v>493.66122481559182</v>
      </c>
      <c r="J58" s="6">
        <v>826.66372269781971</v>
      </c>
      <c r="K58" s="6">
        <v>457.30106684472997</v>
      </c>
      <c r="L58" s="6">
        <v>330.45687344692993</v>
      </c>
      <c r="M58" s="6">
        <v>73.018852634165228</v>
      </c>
      <c r="N58" s="6">
        <v>472.11111795961159</v>
      </c>
      <c r="O58" s="6">
        <v>772.94834756551063</v>
      </c>
      <c r="P58" s="6">
        <v>709.57214385657107</v>
      </c>
      <c r="Q58" s="6">
        <v>607.40821172835206</v>
      </c>
      <c r="R58" s="6">
        <v>384.58884244815124</v>
      </c>
      <c r="S58" s="6">
        <v>587.10594909790223</v>
      </c>
      <c r="T58" s="6">
        <v>461.16592654943076</v>
      </c>
      <c r="U58" s="6">
        <v>-66.645109696295478</v>
      </c>
    </row>
    <row r="59" spans="1:21" x14ac:dyDescent="0.3">
      <c r="A59" s="112" t="s">
        <v>227</v>
      </c>
      <c r="B59" s="6">
        <v>0.50703136962788453</v>
      </c>
      <c r="C59" s="6">
        <v>1.411348256729176</v>
      </c>
      <c r="D59" s="6">
        <v>1.4650448219867005</v>
      </c>
      <c r="E59" s="6">
        <v>0.80878402232163593</v>
      </c>
      <c r="F59" s="6">
        <v>0.54326599474748449</v>
      </c>
      <c r="G59" s="6">
        <v>0.34631227601568587</v>
      </c>
      <c r="H59" s="6">
        <v>0.93329558343372965</v>
      </c>
      <c r="I59" s="6">
        <v>0.61397858238131897</v>
      </c>
      <c r="J59" s="6">
        <v>1.0281419626539818</v>
      </c>
      <c r="K59" s="6">
        <v>0.91626566211753302</v>
      </c>
      <c r="L59" s="6">
        <v>0.41099732467928846</v>
      </c>
      <c r="M59" s="6">
        <v>9.0815339293018826E-2</v>
      </c>
      <c r="N59" s="6">
        <v>0.58717618553003059</v>
      </c>
      <c r="O59" s="6">
        <v>0.9613348321402666</v>
      </c>
      <c r="P59" s="6">
        <v>0.88251229199756054</v>
      </c>
      <c r="Q59" s="6">
        <v>0.75544850196216362</v>
      </c>
      <c r="R59" s="6">
        <v>0.47832258321320464</v>
      </c>
      <c r="S59" s="6">
        <v>0.73019807960291683</v>
      </c>
      <c r="T59" s="6">
        <v>0.57356338231984261</v>
      </c>
      <c r="U59" s="6">
        <v>0.26982741041703595</v>
      </c>
    </row>
    <row r="60" spans="1:21" x14ac:dyDescent="0.3">
      <c r="A60" s="112" t="s">
        <v>228</v>
      </c>
      <c r="B60" s="6">
        <v>0.14583199608657943</v>
      </c>
      <c r="C60" s="6">
        <v>0.13948922425716209</v>
      </c>
      <c r="D60" s="6">
        <v>0.23389289891943402</v>
      </c>
      <c r="E60" s="6">
        <v>0.25791543646041448</v>
      </c>
      <c r="F60" s="6">
        <v>0.26317369345790143</v>
      </c>
      <c r="G60" s="6">
        <v>0.1710892787594335</v>
      </c>
      <c r="H60" s="6">
        <v>0.12502616537733335</v>
      </c>
      <c r="I60" s="6">
        <v>0.13826931511478482</v>
      </c>
      <c r="J60" s="6">
        <v>0.17784549229767227</v>
      </c>
      <c r="K60" s="6">
        <v>0.16604622087859094</v>
      </c>
      <c r="L60" s="6">
        <v>0.10916498588756963</v>
      </c>
      <c r="M60" s="6">
        <v>9.3723645079552234E-2</v>
      </c>
      <c r="N60" s="6">
        <v>0.11164442386284171</v>
      </c>
      <c r="O60" s="6">
        <v>9.2520410740355469E-2</v>
      </c>
      <c r="P60" s="6">
        <v>8.8835789951019012E-2</v>
      </c>
      <c r="Q60" s="6">
        <v>0.11294647876695001</v>
      </c>
      <c r="R60" s="6">
        <v>0.146149807286233</v>
      </c>
      <c r="S60" s="6">
        <v>0.15148388356111836</v>
      </c>
      <c r="T60" s="6">
        <v>0.13502578669138621</v>
      </c>
      <c r="U60" s="6">
        <v>0.13956716186735432</v>
      </c>
    </row>
    <row r="61" spans="1:21" x14ac:dyDescent="0.3">
      <c r="A61" s="112" t="s">
        <v>229</v>
      </c>
      <c r="B61" s="6">
        <v>5.0288529349157111E-3</v>
      </c>
      <c r="C61" s="6">
        <v>1.1299800261617752E-2</v>
      </c>
      <c r="D61" s="6">
        <v>1.058454884130372E-2</v>
      </c>
      <c r="E61" s="6">
        <v>6.6764132633432838E-3</v>
      </c>
      <c r="F61" s="6">
        <v>5.9102614416580686E-3</v>
      </c>
      <c r="G61" s="6">
        <v>8.0163242733542247E-3</v>
      </c>
      <c r="H61" s="6">
        <v>1.1173861407713372E-2</v>
      </c>
      <c r="I61" s="6">
        <v>9.5998999817329331E-3</v>
      </c>
      <c r="J61" s="6">
        <v>9.6101971134025296E-3</v>
      </c>
      <c r="K61" s="6">
        <v>7.9047094818766248E-3</v>
      </c>
      <c r="L61" s="6">
        <v>7.4971513695800476E-3</v>
      </c>
      <c r="M61" s="6">
        <v>4.7268776735154353E-3</v>
      </c>
      <c r="N61" s="6">
        <v>6.8963422035102171E-3</v>
      </c>
      <c r="O61" s="6">
        <v>9.7181875703183096E-3</v>
      </c>
      <c r="P61" s="6">
        <v>9.2766643882693251E-3</v>
      </c>
      <c r="Q61" s="6">
        <v>7.5044012031804221E-3</v>
      </c>
      <c r="R61" s="6">
        <v>6.7561333387191934E-3</v>
      </c>
      <c r="S61" s="6">
        <v>1.2241382805508549E-2</v>
      </c>
      <c r="T61" s="6">
        <v>1.0340330902929821E-2</v>
      </c>
      <c r="U61" s="6">
        <v>1.0654314757718738E-2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F1FC-1FC4-44DF-A453-663F62BE073A}">
  <sheetPr>
    <tabColor theme="3" tint="0.249977111117893"/>
  </sheetPr>
  <dimension ref="A1:U41"/>
  <sheetViews>
    <sheetView showGridLines="0" workbookViewId="0">
      <selection sqref="A1:A1048576"/>
    </sheetView>
  </sheetViews>
  <sheetFormatPr baseColWidth="10" defaultRowHeight="14.4" x14ac:dyDescent="0.3"/>
  <cols>
    <col min="1" max="1" width="31.77734375" style="113" customWidth="1"/>
  </cols>
  <sheetData>
    <row r="1" spans="1:21" x14ac:dyDescent="0.3">
      <c r="A1" s="110" t="s">
        <v>230</v>
      </c>
      <c r="B1" s="108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4" t="s">
        <v>20</v>
      </c>
    </row>
    <row r="2" spans="1:21" x14ac:dyDescent="0.3">
      <c r="A2" s="111" t="s">
        <v>103</v>
      </c>
      <c r="B2" s="109">
        <v>45747</v>
      </c>
      <c r="C2" s="3">
        <v>45657</v>
      </c>
      <c r="D2" s="3">
        <v>45565</v>
      </c>
      <c r="E2" s="3">
        <v>45473</v>
      </c>
      <c r="F2" s="3">
        <v>45382</v>
      </c>
      <c r="G2" s="3">
        <v>45291</v>
      </c>
      <c r="H2" s="3">
        <v>45199</v>
      </c>
      <c r="I2" s="3">
        <v>45107</v>
      </c>
      <c r="J2" s="3">
        <v>45016</v>
      </c>
      <c r="K2" s="3">
        <v>44926</v>
      </c>
      <c r="L2" s="3">
        <v>44834</v>
      </c>
      <c r="M2" s="3">
        <v>44742</v>
      </c>
      <c r="N2" s="3">
        <v>44651</v>
      </c>
      <c r="O2" s="3">
        <v>44561</v>
      </c>
      <c r="P2" s="3">
        <v>44469</v>
      </c>
      <c r="Q2" s="3">
        <v>44377</v>
      </c>
      <c r="R2" s="3">
        <v>44286</v>
      </c>
      <c r="S2" s="3">
        <v>44196</v>
      </c>
      <c r="T2" s="3">
        <v>44104</v>
      </c>
      <c r="U2" s="4">
        <v>44012</v>
      </c>
    </row>
    <row r="3" spans="1:21" x14ac:dyDescent="0.3">
      <c r="A3" s="118" t="s">
        <v>231</v>
      </c>
      <c r="B3" s="11" t="s">
        <v>51</v>
      </c>
      <c r="C3" s="11" t="s">
        <v>51</v>
      </c>
      <c r="D3" s="11" t="s">
        <v>51</v>
      </c>
      <c r="E3" s="11" t="s">
        <v>51</v>
      </c>
      <c r="F3" s="11" t="s">
        <v>51</v>
      </c>
      <c r="G3" s="11" t="s">
        <v>51</v>
      </c>
      <c r="H3" s="11" t="s">
        <v>51</v>
      </c>
      <c r="I3" s="11" t="s">
        <v>51</v>
      </c>
      <c r="J3" s="11" t="s">
        <v>51</v>
      </c>
      <c r="K3" s="11" t="s">
        <v>51</v>
      </c>
      <c r="L3" s="11" t="s">
        <v>51</v>
      </c>
      <c r="M3" s="11" t="s">
        <v>51</v>
      </c>
      <c r="N3" s="11" t="s">
        <v>51</v>
      </c>
      <c r="O3" s="11" t="s">
        <v>51</v>
      </c>
      <c r="P3" s="11" t="s">
        <v>51</v>
      </c>
      <c r="Q3" s="11" t="s">
        <v>51</v>
      </c>
      <c r="R3" s="11" t="s">
        <v>51</v>
      </c>
      <c r="S3" s="11" t="s">
        <v>51</v>
      </c>
      <c r="T3" s="11" t="s">
        <v>51</v>
      </c>
      <c r="U3" s="11" t="s">
        <v>51</v>
      </c>
    </row>
    <row r="4" spans="1:21" x14ac:dyDescent="0.3">
      <c r="A4" s="118" t="s">
        <v>232</v>
      </c>
      <c r="B4" s="6">
        <v>234139.27796874999</v>
      </c>
      <c r="C4" s="6">
        <v>199268.76786363634</v>
      </c>
      <c r="D4" s="6">
        <v>216450.90246969697</v>
      </c>
      <c r="E4" s="6">
        <v>250447.0132307692</v>
      </c>
      <c r="F4" s="6">
        <v>176746.29337499995</v>
      </c>
      <c r="G4" s="6">
        <v>128400.1413692308</v>
      </c>
      <c r="H4" s="6">
        <v>154591.84467692318</v>
      </c>
      <c r="I4" s="6">
        <v>123821.4461076923</v>
      </c>
      <c r="J4" s="6">
        <v>179192.6011846154</v>
      </c>
      <c r="K4" s="6">
        <v>193510.81384615385</v>
      </c>
      <c r="L4" s="6">
        <v>108921.52436363632</v>
      </c>
      <c r="M4" s="6">
        <v>104961.70892307693</v>
      </c>
      <c r="N4" s="6">
        <v>171010.76071875001</v>
      </c>
      <c r="O4" s="6">
        <v>174044.06218181821</v>
      </c>
      <c r="P4" s="6">
        <v>165991.18900000004</v>
      </c>
      <c r="Q4" s="6">
        <v>183338.52701538458</v>
      </c>
      <c r="R4" s="6">
        <v>143332.53387499994</v>
      </c>
      <c r="S4" s="6">
        <v>111406.16169696974</v>
      </c>
      <c r="T4" s="6">
        <v>100174.96287878786</v>
      </c>
      <c r="U4" s="6">
        <v>62062.675200000012</v>
      </c>
    </row>
    <row r="5" spans="1:21" x14ac:dyDescent="0.3">
      <c r="A5" s="112" t="s">
        <v>233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 x14ac:dyDescent="0.3">
      <c r="A6" s="112" t="s">
        <v>234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</row>
    <row r="7" spans="1:21" x14ac:dyDescent="0.3">
      <c r="A7" s="112" t="s">
        <v>235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x14ac:dyDescent="0.3">
      <c r="A8" s="112" t="s">
        <v>236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x14ac:dyDescent="0.3">
      <c r="A9" s="112" t="s">
        <v>237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x14ac:dyDescent="0.3">
      <c r="A10" s="112" t="s">
        <v>238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x14ac:dyDescent="0.3">
      <c r="A11" s="112" t="s">
        <v>239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 x14ac:dyDescent="0.3">
      <c r="A12" s="112" t="s">
        <v>240</v>
      </c>
      <c r="B12" s="6">
        <v>3400.3854995312504</v>
      </c>
      <c r="C12" s="6">
        <v>2194.9619127272722</v>
      </c>
      <c r="D12" s="6">
        <v>8924.8606042424271</v>
      </c>
      <c r="E12" s="6">
        <v>2602.1615763076925</v>
      </c>
      <c r="F12" s="6">
        <v>891.38243437500012</v>
      </c>
      <c r="G12" s="6">
        <v>4537.67924523077</v>
      </c>
      <c r="H12" s="6">
        <v>2270.0045235384619</v>
      </c>
      <c r="I12" s="6">
        <v>3478.0344381538462</v>
      </c>
      <c r="J12" s="6">
        <v>5996.4362676923056</v>
      </c>
      <c r="K12" s="6">
        <v>4463.4408350769245</v>
      </c>
      <c r="L12" s="6">
        <v>-6074.2525006060614</v>
      </c>
      <c r="M12" s="6">
        <v>14630.927783230771</v>
      </c>
      <c r="N12" s="6">
        <v>13098.348417499998</v>
      </c>
      <c r="O12" s="6">
        <v>10552.221212121214</v>
      </c>
      <c r="P12" s="6">
        <v>-649.5218728787878</v>
      </c>
      <c r="Q12" s="6">
        <v>4563.7449364615386</v>
      </c>
      <c r="R12" s="6">
        <v>1728.5564728125</v>
      </c>
      <c r="S12" s="6">
        <v>7615.7643640909091</v>
      </c>
      <c r="T12" s="6">
        <v>4850.0919763636348</v>
      </c>
      <c r="U12" s="6">
        <v>0</v>
      </c>
    </row>
    <row r="13" spans="1:21" x14ac:dyDescent="0.3">
      <c r="A13" s="118" t="s">
        <v>241</v>
      </c>
      <c r="B13" s="6">
        <v>237539.6725625</v>
      </c>
      <c r="C13" s="6">
        <v>201463.72713636362</v>
      </c>
      <c r="D13" s="6">
        <v>225375.78971212122</v>
      </c>
      <c r="E13" s="6">
        <v>253049.1815384615</v>
      </c>
      <c r="F13" s="6">
        <v>177637.67587499993</v>
      </c>
      <c r="G13" s="6">
        <v>132937.82335384618</v>
      </c>
      <c r="H13" s="6">
        <v>156861.85212307703</v>
      </c>
      <c r="I13" s="6">
        <v>127299.49938461538</v>
      </c>
      <c r="J13" s="6">
        <v>185189.07369230772</v>
      </c>
      <c r="K13" s="6">
        <v>197974.27495384615</v>
      </c>
      <c r="L13" s="6">
        <v>102847.26760606057</v>
      </c>
      <c r="M13" s="6">
        <v>119592.73501538463</v>
      </c>
      <c r="N13" s="6">
        <v>184109.06128125</v>
      </c>
      <c r="O13" s="6">
        <v>184596.32206060609</v>
      </c>
      <c r="P13" s="6">
        <v>165341.66783333337</v>
      </c>
      <c r="Q13" s="6">
        <v>187902.29049230769</v>
      </c>
      <c r="R13" s="6">
        <v>145061.09284374994</v>
      </c>
      <c r="S13" s="6">
        <v>119021.98051515155</v>
      </c>
      <c r="T13" s="6">
        <v>105025.04848484846</v>
      </c>
      <c r="U13" s="6">
        <v>62062.675200000012</v>
      </c>
    </row>
    <row r="14" spans="1:21" x14ac:dyDescent="0.3">
      <c r="A14" s="112" t="s">
        <v>186</v>
      </c>
      <c r="B14" s="6">
        <v>34125.841919062506</v>
      </c>
      <c r="C14" s="6">
        <v>32650.058451818175</v>
      </c>
      <c r="D14" s="6">
        <v>31804.143725151527</v>
      </c>
      <c r="E14" s="6">
        <v>32659.465053538461</v>
      </c>
      <c r="F14" s="6">
        <v>31049.821464062505</v>
      </c>
      <c r="G14" s="6">
        <v>30773.446868307696</v>
      </c>
      <c r="H14" s="6">
        <v>30724.583519230775</v>
      </c>
      <c r="I14" s="6">
        <v>28759.083180307687</v>
      </c>
      <c r="J14" s="6">
        <v>26964.107455384605</v>
      </c>
      <c r="K14" s="6">
        <v>28066.002972461542</v>
      </c>
      <c r="L14" s="6">
        <v>26566.206836363643</v>
      </c>
      <c r="M14" s="6">
        <v>27132.776456923079</v>
      </c>
      <c r="N14" s="6">
        <v>22869.762867499998</v>
      </c>
      <c r="O14" s="6">
        <v>23492.337310606064</v>
      </c>
      <c r="P14" s="6">
        <v>22391.991346363633</v>
      </c>
      <c r="Q14" s="6">
        <v>21385.030229846154</v>
      </c>
      <c r="R14" s="6">
        <v>21272.909720624997</v>
      </c>
      <c r="S14" s="6">
        <v>20152.002000454544</v>
      </c>
      <c r="T14" s="6">
        <v>20801.269745454538</v>
      </c>
      <c r="U14" s="6">
        <v>20838.007191692304</v>
      </c>
    </row>
    <row r="15" spans="1:21" x14ac:dyDescent="0.3">
      <c r="A15" s="118" t="s">
        <v>242</v>
      </c>
      <c r="B15" s="6">
        <v>276056.40844625002</v>
      </c>
      <c r="C15" s="6">
        <v>238488.7089342424</v>
      </c>
      <c r="D15" s="6">
        <v>261477.52138181825</v>
      </c>
      <c r="E15" s="6">
        <v>283105.83041876921</v>
      </c>
      <c r="F15" s="6">
        <v>212921.55082437504</v>
      </c>
      <c r="G15" s="6">
        <v>167908.91278769233</v>
      </c>
      <c r="H15" s="6">
        <v>191779.2356701539</v>
      </c>
      <c r="I15" s="6">
        <v>160058.32001353844</v>
      </c>
      <c r="J15" s="6">
        <v>216004.07729846146</v>
      </c>
      <c r="K15" s="6">
        <v>230135.57444907696</v>
      </c>
      <c r="L15" s="6">
        <v>133412.16995636365</v>
      </c>
      <c r="M15" s="6">
        <v>150489.54291323078</v>
      </c>
      <c r="N15" s="6">
        <v>210329.69603624998</v>
      </c>
      <c r="O15" s="6">
        <v>210635.07083333339</v>
      </c>
      <c r="P15" s="6">
        <v>190882.36870924241</v>
      </c>
      <c r="Q15" s="6">
        <v>212438.4963109231</v>
      </c>
      <c r="R15" s="6">
        <v>169356.11577187499</v>
      </c>
      <c r="S15" s="6">
        <v>142108.70047287879</v>
      </c>
      <c r="T15" s="6">
        <v>128904.19506545448</v>
      </c>
      <c r="U15" s="6">
        <v>85986.348561384599</v>
      </c>
    </row>
    <row r="16" spans="1:21" x14ac:dyDescent="0.3">
      <c r="A16" s="118"/>
      <c r="B16" s="6" t="s">
        <v>51</v>
      </c>
      <c r="C16" s="6" t="s">
        <v>51</v>
      </c>
      <c r="D16" s="6" t="s">
        <v>51</v>
      </c>
      <c r="E16" s="6" t="s">
        <v>51</v>
      </c>
      <c r="F16" s="6" t="s">
        <v>51</v>
      </c>
      <c r="G16" s="6" t="s">
        <v>51</v>
      </c>
      <c r="H16" s="6" t="s">
        <v>51</v>
      </c>
      <c r="I16" s="6" t="s">
        <v>51</v>
      </c>
      <c r="J16" s="6" t="s">
        <v>51</v>
      </c>
      <c r="K16" s="6" t="s">
        <v>51</v>
      </c>
      <c r="L16" s="6" t="s">
        <v>51</v>
      </c>
      <c r="M16" s="6" t="s">
        <v>51</v>
      </c>
      <c r="N16" s="6" t="s">
        <v>51</v>
      </c>
      <c r="O16" s="6" t="s">
        <v>51</v>
      </c>
      <c r="P16" s="6" t="s">
        <v>51</v>
      </c>
      <c r="Q16" s="6" t="s">
        <v>51</v>
      </c>
      <c r="R16" s="6" t="s">
        <v>51</v>
      </c>
      <c r="S16" s="6" t="s">
        <v>51</v>
      </c>
      <c r="T16" s="6" t="s">
        <v>51</v>
      </c>
      <c r="U16" s="6" t="s">
        <v>51</v>
      </c>
    </row>
    <row r="17" spans="1:21" x14ac:dyDescent="0.3">
      <c r="A17" s="118" t="s">
        <v>243</v>
      </c>
      <c r="B17" s="6" t="s">
        <v>51</v>
      </c>
      <c r="C17" s="6" t="s">
        <v>51</v>
      </c>
      <c r="D17" s="6" t="s">
        <v>51</v>
      </c>
      <c r="E17" s="6" t="s">
        <v>51</v>
      </c>
      <c r="F17" s="6" t="s">
        <v>51</v>
      </c>
      <c r="G17" s="6" t="s">
        <v>51</v>
      </c>
      <c r="H17" s="6" t="s">
        <v>51</v>
      </c>
      <c r="I17" s="6" t="s">
        <v>51</v>
      </c>
      <c r="J17" s="6" t="s">
        <v>51</v>
      </c>
      <c r="K17" s="6" t="s">
        <v>51</v>
      </c>
      <c r="L17" s="6" t="s">
        <v>51</v>
      </c>
      <c r="M17" s="6" t="s">
        <v>51</v>
      </c>
      <c r="N17" s="6" t="s">
        <v>51</v>
      </c>
      <c r="O17" s="6" t="s">
        <v>51</v>
      </c>
      <c r="P17" s="6" t="s">
        <v>51</v>
      </c>
      <c r="Q17" s="6" t="s">
        <v>51</v>
      </c>
      <c r="R17" s="6" t="s">
        <v>51</v>
      </c>
      <c r="S17" s="6" t="s">
        <v>51</v>
      </c>
      <c r="T17" s="6" t="s">
        <v>51</v>
      </c>
      <c r="U17" s="6" t="s">
        <v>51</v>
      </c>
    </row>
    <row r="18" spans="1:21" x14ac:dyDescent="0.3">
      <c r="A18" s="118" t="s">
        <v>232</v>
      </c>
      <c r="B18" s="6">
        <v>234139.27796874999</v>
      </c>
      <c r="C18" s="6">
        <v>199268.76786363634</v>
      </c>
      <c r="D18" s="6">
        <v>216450.90246969697</v>
      </c>
      <c r="E18" s="6">
        <v>250447.0132307692</v>
      </c>
      <c r="F18" s="6">
        <v>176746.29337499995</v>
      </c>
      <c r="G18" s="6">
        <v>128400.1413692308</v>
      </c>
      <c r="H18" s="6">
        <v>154591.84467692318</v>
      </c>
      <c r="I18" s="6">
        <v>123821.4461076923</v>
      </c>
      <c r="J18" s="6">
        <v>179192.6011846154</v>
      </c>
      <c r="K18" s="6">
        <v>193510.81384615385</v>
      </c>
      <c r="L18" s="6">
        <v>108921.52436363632</v>
      </c>
      <c r="M18" s="6">
        <v>104961.70892307693</v>
      </c>
      <c r="N18" s="6">
        <v>171010.76071875001</v>
      </c>
      <c r="O18" s="6">
        <v>174044.06218181821</v>
      </c>
      <c r="P18" s="6">
        <v>165991.18900000004</v>
      </c>
      <c r="Q18" s="6">
        <v>183338.52701538458</v>
      </c>
      <c r="R18" s="6">
        <v>143332.53387499994</v>
      </c>
      <c r="S18" s="6">
        <v>111406.16169696974</v>
      </c>
      <c r="T18" s="6">
        <v>100174.96287878786</v>
      </c>
      <c r="U18" s="6">
        <v>62062.675200000012</v>
      </c>
    </row>
    <row r="19" spans="1:21" x14ac:dyDescent="0.3">
      <c r="A19" s="112" t="s">
        <v>244</v>
      </c>
      <c r="B19" s="6">
        <v>3400.3854995312504</v>
      </c>
      <c r="C19" s="6">
        <v>2194.9619127272722</v>
      </c>
      <c r="D19" s="6">
        <v>8924.8606042424271</v>
      </c>
      <c r="E19" s="6">
        <v>2602.1615763076925</v>
      </c>
      <c r="F19" s="6">
        <v>891.38243437500012</v>
      </c>
      <c r="G19" s="6">
        <v>4537.67924523077</v>
      </c>
      <c r="H19" s="6">
        <v>2270.0045235384619</v>
      </c>
      <c r="I19" s="6">
        <v>3478.0344381538462</v>
      </c>
      <c r="J19" s="6">
        <v>5996.4362676923056</v>
      </c>
      <c r="K19" s="6">
        <v>4463.4408350769245</v>
      </c>
      <c r="L19" s="6">
        <v>-6074.2525006060614</v>
      </c>
      <c r="M19" s="6">
        <v>14630.927783230771</v>
      </c>
      <c r="N19" s="6">
        <v>13098.348417499998</v>
      </c>
      <c r="O19" s="6">
        <v>10552.221212121214</v>
      </c>
      <c r="P19" s="6">
        <v>-649.5218728787878</v>
      </c>
      <c r="Q19" s="6">
        <v>4563.7449364615386</v>
      </c>
      <c r="R19" s="6">
        <v>1728.5564728125</v>
      </c>
      <c r="S19" s="6">
        <v>7615.7643640909091</v>
      </c>
      <c r="T19" s="6">
        <v>4850.0919763636348</v>
      </c>
      <c r="U19" s="6" t="s">
        <v>51</v>
      </c>
    </row>
    <row r="20" spans="1:21" x14ac:dyDescent="0.3">
      <c r="A20" s="118" t="s">
        <v>241</v>
      </c>
      <c r="B20" s="6">
        <v>237539.6725625</v>
      </c>
      <c r="C20" s="6">
        <v>201463.72713636362</v>
      </c>
      <c r="D20" s="6">
        <v>225375.78971212122</v>
      </c>
      <c r="E20" s="6">
        <v>253049.1815384615</v>
      </c>
      <c r="F20" s="6">
        <v>177637.67587499993</v>
      </c>
      <c r="G20" s="6">
        <v>132937.82335384618</v>
      </c>
      <c r="H20" s="6">
        <v>156861.85212307703</v>
      </c>
      <c r="I20" s="6">
        <v>127299.49938461538</v>
      </c>
      <c r="J20" s="6">
        <v>185189.07369230772</v>
      </c>
      <c r="K20" s="6">
        <v>197974.27495384615</v>
      </c>
      <c r="L20" s="6">
        <v>102847.26760606057</v>
      </c>
      <c r="M20" s="6">
        <v>119592.73501538463</v>
      </c>
      <c r="N20" s="6">
        <v>184109.06128125</v>
      </c>
      <c r="O20" s="6">
        <v>184596.32206060609</v>
      </c>
      <c r="P20" s="6">
        <v>165341.66783333337</v>
      </c>
      <c r="Q20" s="6">
        <v>187902.29049230769</v>
      </c>
      <c r="R20" s="6">
        <v>145061.09284374994</v>
      </c>
      <c r="S20" s="6">
        <v>119021.98051515155</v>
      </c>
      <c r="T20" s="6">
        <v>105025.04848484846</v>
      </c>
      <c r="U20" s="6">
        <v>62062.675200000012</v>
      </c>
    </row>
    <row r="21" spans="1:21" x14ac:dyDescent="0.3">
      <c r="A21" s="118"/>
      <c r="B21" s="6" t="s">
        <v>51</v>
      </c>
      <c r="C21" s="6" t="s">
        <v>51</v>
      </c>
      <c r="D21" s="6" t="s">
        <v>51</v>
      </c>
      <c r="E21" s="6" t="s">
        <v>51</v>
      </c>
      <c r="F21" s="6" t="s">
        <v>51</v>
      </c>
      <c r="G21" s="6" t="s">
        <v>51</v>
      </c>
      <c r="H21" s="6" t="s">
        <v>51</v>
      </c>
      <c r="I21" s="6" t="s">
        <v>51</v>
      </c>
      <c r="J21" s="6" t="s">
        <v>51</v>
      </c>
      <c r="K21" s="6" t="s">
        <v>51</v>
      </c>
      <c r="L21" s="6" t="s">
        <v>51</v>
      </c>
      <c r="M21" s="6" t="s">
        <v>51</v>
      </c>
      <c r="N21" s="6" t="s">
        <v>51</v>
      </c>
      <c r="O21" s="6" t="s">
        <v>51</v>
      </c>
      <c r="P21" s="6" t="s">
        <v>51</v>
      </c>
      <c r="Q21" s="6" t="s">
        <v>51</v>
      </c>
      <c r="R21" s="6" t="s">
        <v>51</v>
      </c>
      <c r="S21" s="6" t="s">
        <v>51</v>
      </c>
      <c r="T21" s="6" t="s">
        <v>51</v>
      </c>
      <c r="U21" s="6" t="s">
        <v>51</v>
      </c>
    </row>
    <row r="22" spans="1:21" x14ac:dyDescent="0.3">
      <c r="A22" s="118" t="s">
        <v>245</v>
      </c>
      <c r="B22" s="6" t="s">
        <v>51</v>
      </c>
      <c r="C22" s="6" t="s">
        <v>51</v>
      </c>
      <c r="D22" s="6" t="s">
        <v>51</v>
      </c>
      <c r="E22" s="6" t="s">
        <v>51</v>
      </c>
      <c r="F22" s="6" t="s">
        <v>51</v>
      </c>
      <c r="G22" s="6" t="s">
        <v>51</v>
      </c>
      <c r="H22" s="6" t="s">
        <v>51</v>
      </c>
      <c r="I22" s="6" t="s">
        <v>51</v>
      </c>
      <c r="J22" s="6" t="s">
        <v>51</v>
      </c>
      <c r="K22" s="6" t="s">
        <v>51</v>
      </c>
      <c r="L22" s="6" t="s">
        <v>51</v>
      </c>
      <c r="M22" s="6" t="s">
        <v>51</v>
      </c>
      <c r="N22" s="6" t="s">
        <v>51</v>
      </c>
      <c r="O22" s="6" t="s">
        <v>51</v>
      </c>
      <c r="P22" s="6" t="s">
        <v>51</v>
      </c>
      <c r="Q22" s="6" t="s">
        <v>51</v>
      </c>
      <c r="R22" s="6" t="s">
        <v>51</v>
      </c>
      <c r="S22" s="6" t="s">
        <v>51</v>
      </c>
      <c r="T22" s="6" t="s">
        <v>51</v>
      </c>
      <c r="U22" s="6" t="s">
        <v>51</v>
      </c>
    </row>
    <row r="23" spans="1:21" x14ac:dyDescent="0.3">
      <c r="A23" s="118" t="s">
        <v>63</v>
      </c>
      <c r="B23" s="6">
        <v>225447.08345546876</v>
      </c>
      <c r="C23" s="6">
        <v>189696.53474924239</v>
      </c>
      <c r="D23" s="6">
        <v>212928.07063666676</v>
      </c>
      <c r="E23" s="6">
        <v>238495.12028123077</v>
      </c>
      <c r="F23" s="6">
        <v>171665.40048671878</v>
      </c>
      <c r="G23" s="6">
        <v>116427.68538984618</v>
      </c>
      <c r="H23" s="6">
        <v>147102.07657630774</v>
      </c>
      <c r="I23" s="6">
        <v>116562.26877907691</v>
      </c>
      <c r="J23" s="6">
        <v>172453.80065230763</v>
      </c>
      <c r="K23" s="6">
        <v>195529.78316446158</v>
      </c>
      <c r="L23" s="6">
        <v>103705.06262424245</v>
      </c>
      <c r="M23" s="6">
        <v>94964.717599230775</v>
      </c>
      <c r="N23" s="6">
        <v>162705.68322874999</v>
      </c>
      <c r="O23" s="6">
        <v>162888.54403409094</v>
      </c>
      <c r="P23" s="6">
        <v>156160.47062348481</v>
      </c>
      <c r="Q23" s="6">
        <v>172809.43056769232</v>
      </c>
      <c r="R23" s="6">
        <v>134328.98675531251</v>
      </c>
      <c r="S23" s="6">
        <v>102065.86808939393</v>
      </c>
      <c r="T23" s="6">
        <v>89519.750154545414</v>
      </c>
      <c r="U23" s="6">
        <v>52514.358681230755</v>
      </c>
    </row>
    <row r="24" spans="1:21" x14ac:dyDescent="0.3">
      <c r="A24" s="112" t="s">
        <v>244</v>
      </c>
      <c r="B24" s="6">
        <v>3400.3854995312504</v>
      </c>
      <c r="C24" s="6">
        <v>2194.9619127272722</v>
      </c>
      <c r="D24" s="6">
        <v>8924.8606042424271</v>
      </c>
      <c r="E24" s="6">
        <v>2602.1615763076925</v>
      </c>
      <c r="F24" s="6">
        <v>891.38243437500012</v>
      </c>
      <c r="G24" s="6">
        <v>4537.67924523077</v>
      </c>
      <c r="H24" s="6">
        <v>2270.0045235384619</v>
      </c>
      <c r="I24" s="6">
        <v>3478.0344381538462</v>
      </c>
      <c r="J24" s="6">
        <v>5996.4362676923056</v>
      </c>
      <c r="K24" s="6">
        <v>4463.4408350769245</v>
      </c>
      <c r="L24" s="6">
        <v>-6074.2525006060614</v>
      </c>
      <c r="M24" s="6">
        <v>14630.927783230771</v>
      </c>
      <c r="N24" s="6">
        <v>13098.348417499998</v>
      </c>
      <c r="O24" s="6">
        <v>10552.221212121214</v>
      </c>
      <c r="P24" s="6">
        <v>-649.5218728787878</v>
      </c>
      <c r="Q24" s="6">
        <v>4563.7449364615386</v>
      </c>
      <c r="R24" s="6">
        <v>1728.5564728125</v>
      </c>
      <c r="S24" s="6">
        <v>7615.7643640909091</v>
      </c>
      <c r="T24" s="6">
        <v>4850.0919763636348</v>
      </c>
      <c r="U24" s="6" t="s">
        <v>51</v>
      </c>
    </row>
    <row r="25" spans="1:21" x14ac:dyDescent="0.3">
      <c r="A25" s="118" t="s">
        <v>60</v>
      </c>
      <c r="B25" s="6">
        <v>228847.46895499999</v>
      </c>
      <c r="C25" s="6">
        <v>191891.49666196966</v>
      </c>
      <c r="D25" s="6">
        <v>221852.93124090918</v>
      </c>
      <c r="E25" s="6">
        <v>238495.12028123077</v>
      </c>
      <c r="F25" s="6">
        <v>172556.78292109378</v>
      </c>
      <c r="G25" s="6">
        <v>120965.36463507694</v>
      </c>
      <c r="H25" s="6">
        <v>149372.08109984617</v>
      </c>
      <c r="I25" s="6">
        <v>120040.30321723077</v>
      </c>
      <c r="J25" s="6">
        <v>178450.23691999994</v>
      </c>
      <c r="K25" s="6">
        <v>199993.22399953852</v>
      </c>
      <c r="L25" s="6">
        <v>97630.810123636387</v>
      </c>
      <c r="M25" s="6">
        <v>109595.64538246156</v>
      </c>
      <c r="N25" s="6">
        <v>175804.03164624999</v>
      </c>
      <c r="O25" s="6">
        <v>173440.76524621216</v>
      </c>
      <c r="P25" s="6">
        <v>155510.94875060604</v>
      </c>
      <c r="Q25" s="6">
        <v>177373.17550415386</v>
      </c>
      <c r="R25" s="6">
        <v>136057.543228125</v>
      </c>
      <c r="S25" s="6">
        <v>109681.63245348485</v>
      </c>
      <c r="T25" s="6">
        <v>94369.842130909048</v>
      </c>
      <c r="U25" s="6">
        <v>52514.358681230755</v>
      </c>
    </row>
    <row r="26" spans="1:21" x14ac:dyDescent="0.3">
      <c r="A26" s="118"/>
      <c r="B26" s="6" t="s">
        <v>51</v>
      </c>
      <c r="C26" s="6" t="s">
        <v>51</v>
      </c>
      <c r="D26" s="6" t="s">
        <v>51</v>
      </c>
      <c r="E26" s="6" t="s">
        <v>51</v>
      </c>
      <c r="F26" s="6" t="s">
        <v>51</v>
      </c>
      <c r="G26" s="6" t="s">
        <v>51</v>
      </c>
      <c r="H26" s="6" t="s">
        <v>51</v>
      </c>
      <c r="I26" s="6" t="s">
        <v>51</v>
      </c>
      <c r="J26" s="6" t="s">
        <v>51</v>
      </c>
      <c r="K26" s="6" t="s">
        <v>51</v>
      </c>
      <c r="L26" s="6" t="s">
        <v>51</v>
      </c>
      <c r="M26" s="6" t="s">
        <v>51</v>
      </c>
      <c r="N26" s="6" t="s">
        <v>51</v>
      </c>
      <c r="O26" s="6" t="s">
        <v>51</v>
      </c>
      <c r="P26" s="6" t="s">
        <v>51</v>
      </c>
      <c r="Q26" s="6" t="s">
        <v>51</v>
      </c>
      <c r="R26" s="6" t="s">
        <v>51</v>
      </c>
      <c r="S26" s="6" t="s">
        <v>51</v>
      </c>
      <c r="T26" s="6" t="s">
        <v>51</v>
      </c>
      <c r="U26" s="6" t="s">
        <v>51</v>
      </c>
    </row>
    <row r="27" spans="1:21" x14ac:dyDescent="0.3">
      <c r="A27" s="118" t="s">
        <v>246</v>
      </c>
      <c r="B27" s="6" t="s">
        <v>51</v>
      </c>
      <c r="C27" s="6" t="s">
        <v>51</v>
      </c>
      <c r="D27" s="6" t="s">
        <v>51</v>
      </c>
      <c r="E27" s="6" t="s">
        <v>51</v>
      </c>
      <c r="F27" s="6" t="s">
        <v>51</v>
      </c>
      <c r="G27" s="6" t="s">
        <v>51</v>
      </c>
      <c r="H27" s="6" t="s">
        <v>51</v>
      </c>
      <c r="I27" s="6" t="s">
        <v>51</v>
      </c>
      <c r="J27" s="6" t="s">
        <v>51</v>
      </c>
      <c r="K27" s="6" t="s">
        <v>51</v>
      </c>
      <c r="L27" s="6" t="s">
        <v>51</v>
      </c>
      <c r="M27" s="6" t="s">
        <v>51</v>
      </c>
      <c r="N27" s="6" t="s">
        <v>51</v>
      </c>
      <c r="O27" s="6" t="s">
        <v>51</v>
      </c>
      <c r="P27" s="6" t="s">
        <v>51</v>
      </c>
      <c r="Q27" s="6" t="s">
        <v>51</v>
      </c>
      <c r="R27" s="6" t="s">
        <v>51</v>
      </c>
      <c r="S27" s="6" t="s">
        <v>51</v>
      </c>
      <c r="T27" s="6" t="s">
        <v>51</v>
      </c>
      <c r="U27" s="6" t="s">
        <v>51</v>
      </c>
    </row>
    <row r="28" spans="1:21" x14ac:dyDescent="0.3">
      <c r="A28" s="118" t="s">
        <v>247</v>
      </c>
      <c r="B28" s="6">
        <v>144234.28896890624</v>
      </c>
      <c r="C28" s="6">
        <v>121012.51823015149</v>
      </c>
      <c r="D28" s="6">
        <v>133828.1355154546</v>
      </c>
      <c r="E28" s="6">
        <v>148058.31915015387</v>
      </c>
      <c r="F28" s="6">
        <v>109342.91195000001</v>
      </c>
      <c r="G28" s="6">
        <v>65774.177984615395</v>
      </c>
      <c r="H28" s="6">
        <v>89571.197600769257</v>
      </c>
      <c r="I28" s="6">
        <v>75265.765015384604</v>
      </c>
      <c r="J28" s="6">
        <v>107644.63516307689</v>
      </c>
      <c r="K28" s="6">
        <v>127462.31042953848</v>
      </c>
      <c r="L28" s="6">
        <v>71811.777854545464</v>
      </c>
      <c r="M28" s="6">
        <v>56122.006039846157</v>
      </c>
      <c r="N28" s="6">
        <v>91281.296653749989</v>
      </c>
      <c r="O28" s="6">
        <v>94719.830492424255</v>
      </c>
      <c r="P28" s="6">
        <v>95512.741849090904</v>
      </c>
      <c r="Q28" s="6">
        <v>102076.85616876924</v>
      </c>
      <c r="R28" s="6">
        <v>80998.247480624996</v>
      </c>
      <c r="S28" s="6">
        <v>61657.395441515153</v>
      </c>
      <c r="T28" s="6">
        <v>53701.237199999974</v>
      </c>
      <c r="U28" s="6">
        <v>27902.285171538457</v>
      </c>
    </row>
    <row r="29" spans="1:21" x14ac:dyDescent="0.3">
      <c r="A29" s="112" t="s">
        <v>248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x14ac:dyDescent="0.3">
      <c r="A30" s="112" t="s">
        <v>249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x14ac:dyDescent="0.3">
      <c r="A31" s="118" t="s">
        <v>250</v>
      </c>
      <c r="B31" s="6">
        <v>144234.28896890624</v>
      </c>
      <c r="C31" s="6">
        <v>121012.51823015149</v>
      </c>
      <c r="D31" s="6">
        <v>133828.1355154546</v>
      </c>
      <c r="E31" s="6">
        <v>148058.31915015384</v>
      </c>
      <c r="F31" s="6">
        <v>109342.91195000004</v>
      </c>
      <c r="G31" s="6">
        <v>65774.17798461541</v>
      </c>
      <c r="H31" s="6">
        <v>89571.197600769243</v>
      </c>
      <c r="I31" s="6">
        <v>75265.765015384604</v>
      </c>
      <c r="J31" s="6">
        <v>107644.63516307688</v>
      </c>
      <c r="K31" s="6">
        <v>127462.31042953847</v>
      </c>
      <c r="L31" s="6">
        <v>71811.777854545464</v>
      </c>
      <c r="M31" s="6">
        <v>56122.006039846165</v>
      </c>
      <c r="N31" s="6">
        <v>91281.296653749989</v>
      </c>
      <c r="O31" s="6">
        <v>94719.830492424255</v>
      </c>
      <c r="P31" s="6">
        <v>95512.741849090889</v>
      </c>
      <c r="Q31" s="6">
        <v>102076.85616876923</v>
      </c>
      <c r="R31" s="6">
        <v>80998.24748062501</v>
      </c>
      <c r="S31" s="6">
        <v>61657.395441515138</v>
      </c>
      <c r="T31" s="6">
        <v>53701.237199999974</v>
      </c>
      <c r="U31" s="6">
        <v>27902.285171538457</v>
      </c>
    </row>
    <row r="32" spans="1:21" x14ac:dyDescent="0.3">
      <c r="A32" s="112" t="s">
        <v>244</v>
      </c>
      <c r="B32" s="6">
        <v>2686.3045446296878</v>
      </c>
      <c r="C32" s="6">
        <v>1734.019911054545</v>
      </c>
      <c r="D32" s="6">
        <v>7050.6398773515175</v>
      </c>
      <c r="E32" s="6">
        <v>2055.707645283077</v>
      </c>
      <c r="F32" s="6">
        <v>704.19212315625009</v>
      </c>
      <c r="G32" s="6">
        <v>3584.7666037323083</v>
      </c>
      <c r="H32" s="6">
        <v>1793.3035735953852</v>
      </c>
      <c r="I32" s="6">
        <v>2747.6472061415379</v>
      </c>
      <c r="J32" s="6">
        <v>4737.1846514769213</v>
      </c>
      <c r="K32" s="6">
        <v>3526.1182597107695</v>
      </c>
      <c r="L32" s="6">
        <v>-4798.6594754787884</v>
      </c>
      <c r="M32" s="6">
        <v>11558.432948752308</v>
      </c>
      <c r="N32" s="6">
        <v>10347.695249824998</v>
      </c>
      <c r="O32" s="6">
        <v>8336.2547575757599</v>
      </c>
      <c r="P32" s="6">
        <v>-513.12227957424227</v>
      </c>
      <c r="Q32" s="6">
        <v>3605.3584998046153</v>
      </c>
      <c r="R32" s="6">
        <v>1365.559613521875</v>
      </c>
      <c r="S32" s="6">
        <v>6016.4538476318176</v>
      </c>
      <c r="T32" s="6">
        <v>3831.5726613272714</v>
      </c>
      <c r="U32" s="6" t="s">
        <v>51</v>
      </c>
    </row>
    <row r="33" spans="1:21" x14ac:dyDescent="0.3">
      <c r="A33" s="118" t="s">
        <v>76</v>
      </c>
      <c r="B33" s="6">
        <v>146920.59351353595</v>
      </c>
      <c r="C33" s="6">
        <v>122746.53814120604</v>
      </c>
      <c r="D33" s="6">
        <v>140878.77539280613</v>
      </c>
      <c r="E33" s="6">
        <v>148058.31915015387</v>
      </c>
      <c r="F33" s="6">
        <v>110047.10407315627</v>
      </c>
      <c r="G33" s="6">
        <v>69358.944588347702</v>
      </c>
      <c r="H33" s="6">
        <v>91364.501174364646</v>
      </c>
      <c r="I33" s="6">
        <v>78013.412221526145</v>
      </c>
      <c r="J33" s="6">
        <v>112381.8198145538</v>
      </c>
      <c r="K33" s="6">
        <v>130988.42868924927</v>
      </c>
      <c r="L33" s="6">
        <v>67013.118379066684</v>
      </c>
      <c r="M33" s="6">
        <v>67680.438988598456</v>
      </c>
      <c r="N33" s="6">
        <v>101628.99190357499</v>
      </c>
      <c r="O33" s="6">
        <v>103056.08525000002</v>
      </c>
      <c r="P33" s="6">
        <v>94999.619569516653</v>
      </c>
      <c r="Q33" s="6">
        <v>105682.21466857386</v>
      </c>
      <c r="R33" s="6">
        <v>82363.807094146876</v>
      </c>
      <c r="S33" s="6">
        <v>67673.849289146965</v>
      </c>
      <c r="T33" s="6">
        <v>57532.809861327245</v>
      </c>
      <c r="U33" s="6">
        <v>27902.285171538457</v>
      </c>
    </row>
    <row r="34" spans="1:21" x14ac:dyDescent="0.3">
      <c r="A34" s="118"/>
      <c r="B34" s="6" t="s">
        <v>51</v>
      </c>
      <c r="C34" s="6" t="s">
        <v>51</v>
      </c>
      <c r="D34" s="6" t="s">
        <v>51</v>
      </c>
      <c r="E34" s="6" t="s">
        <v>51</v>
      </c>
      <c r="F34" s="6" t="s">
        <v>51</v>
      </c>
      <c r="G34" s="6" t="s">
        <v>51</v>
      </c>
      <c r="H34" s="6" t="s">
        <v>51</v>
      </c>
      <c r="I34" s="6" t="s">
        <v>51</v>
      </c>
      <c r="J34" s="6" t="s">
        <v>51</v>
      </c>
      <c r="K34" s="6" t="s">
        <v>51</v>
      </c>
      <c r="L34" s="6" t="s">
        <v>51</v>
      </c>
      <c r="M34" s="6" t="s">
        <v>51</v>
      </c>
      <c r="N34" s="6" t="s">
        <v>51</v>
      </c>
      <c r="O34" s="6" t="s">
        <v>51</v>
      </c>
      <c r="P34" s="6" t="s">
        <v>51</v>
      </c>
      <c r="Q34" s="6" t="s">
        <v>51</v>
      </c>
      <c r="R34" s="6" t="s">
        <v>51</v>
      </c>
      <c r="S34" s="6" t="s">
        <v>51</v>
      </c>
      <c r="T34" s="6" t="s">
        <v>51</v>
      </c>
      <c r="U34" s="6" t="s">
        <v>51</v>
      </c>
    </row>
    <row r="35" spans="1:21" x14ac:dyDescent="0.3">
      <c r="A35" s="118" t="s">
        <v>251</v>
      </c>
      <c r="B35" s="6" t="s">
        <v>51</v>
      </c>
      <c r="C35" s="6" t="s">
        <v>51</v>
      </c>
      <c r="D35" s="6" t="s">
        <v>51</v>
      </c>
      <c r="E35" s="6" t="s">
        <v>51</v>
      </c>
      <c r="F35" s="6" t="s">
        <v>51</v>
      </c>
      <c r="G35" s="6" t="s">
        <v>51</v>
      </c>
      <c r="H35" s="6" t="s">
        <v>51</v>
      </c>
      <c r="I35" s="6" t="s">
        <v>51</v>
      </c>
      <c r="J35" s="6" t="s">
        <v>51</v>
      </c>
      <c r="K35" s="6" t="s">
        <v>51</v>
      </c>
      <c r="L35" s="6" t="s">
        <v>51</v>
      </c>
      <c r="M35" s="6" t="s">
        <v>51</v>
      </c>
      <c r="N35" s="6" t="s">
        <v>51</v>
      </c>
      <c r="O35" s="6" t="s">
        <v>51</v>
      </c>
      <c r="P35" s="6" t="s">
        <v>51</v>
      </c>
      <c r="Q35" s="6" t="s">
        <v>51</v>
      </c>
      <c r="R35" s="6" t="s">
        <v>51</v>
      </c>
      <c r="S35" s="6" t="s">
        <v>51</v>
      </c>
      <c r="T35" s="6" t="s">
        <v>51</v>
      </c>
      <c r="U35" s="6" t="s">
        <v>51</v>
      </c>
    </row>
    <row r="36" spans="1:21" x14ac:dyDescent="0.3">
      <c r="A36" s="118" t="s">
        <v>84</v>
      </c>
      <c r="B36" s="6">
        <v>180.21502456390331</v>
      </c>
      <c r="C36" s="6">
        <v>151.3382348583248</v>
      </c>
      <c r="D36" s="6">
        <v>167.67819059962085</v>
      </c>
      <c r="E36" s="6">
        <v>184.68466478191539</v>
      </c>
      <c r="F36" s="6">
        <v>135.70514241666959</v>
      </c>
      <c r="G36" s="6">
        <v>82.429618603379026</v>
      </c>
      <c r="H36" s="6">
        <v>111.21847500116426</v>
      </c>
      <c r="I36" s="6">
        <v>93.849418077774558</v>
      </c>
      <c r="J36" s="6">
        <v>133.64237896232817</v>
      </c>
      <c r="K36" s="6">
        <v>158.90166218055404</v>
      </c>
      <c r="L36" s="6">
        <v>89.1380239515575</v>
      </c>
      <c r="M36" s="6">
        <v>69.903006709276468</v>
      </c>
      <c r="N36" s="6">
        <v>114.08753542973228</v>
      </c>
      <c r="O36" s="6">
        <v>118.08087016171673</v>
      </c>
      <c r="P36" s="6">
        <v>118.55494416863966</v>
      </c>
      <c r="Q36" s="6">
        <v>127.3299469333375</v>
      </c>
      <c r="R36" s="6">
        <v>100.94644788791202</v>
      </c>
      <c r="S36" s="6">
        <v>76.34128060891274</v>
      </c>
      <c r="T36" s="6">
        <v>66.329543716194138</v>
      </c>
      <c r="U36" s="6">
        <v>35.151285057250725</v>
      </c>
    </row>
    <row r="37" spans="1:21" x14ac:dyDescent="0.3">
      <c r="A37" s="112" t="s">
        <v>248</v>
      </c>
      <c r="B37" s="6" t="s">
        <v>51</v>
      </c>
      <c r="C37" s="6">
        <v>0</v>
      </c>
      <c r="D37" s="6">
        <v>0</v>
      </c>
      <c r="E37" s="6" t="s">
        <v>51</v>
      </c>
      <c r="F37" s="6" t="s">
        <v>51</v>
      </c>
      <c r="G37" s="6">
        <v>0</v>
      </c>
      <c r="H37" s="6">
        <v>0</v>
      </c>
      <c r="I37" s="6">
        <v>0</v>
      </c>
      <c r="J37" s="6" t="s">
        <v>51</v>
      </c>
      <c r="K37" s="6">
        <v>0</v>
      </c>
      <c r="L37" s="6" t="s">
        <v>51</v>
      </c>
      <c r="M37" s="6">
        <v>0</v>
      </c>
      <c r="N37" s="6" t="s">
        <v>51</v>
      </c>
      <c r="O37" s="6">
        <v>0</v>
      </c>
      <c r="P37" s="6" t="s">
        <v>51</v>
      </c>
      <c r="Q37" s="6">
        <v>0</v>
      </c>
      <c r="R37" s="6" t="s">
        <v>51</v>
      </c>
      <c r="S37" s="6">
        <v>0</v>
      </c>
      <c r="T37" s="6" t="s">
        <v>51</v>
      </c>
      <c r="U37" s="6" t="s">
        <v>51</v>
      </c>
    </row>
    <row r="38" spans="1:21" x14ac:dyDescent="0.3">
      <c r="A38" s="112" t="s">
        <v>249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x14ac:dyDescent="0.3">
      <c r="A39" s="118" t="s">
        <v>85</v>
      </c>
      <c r="B39" s="6">
        <v>180.21502456390331</v>
      </c>
      <c r="C39" s="6">
        <v>151.3382348583248</v>
      </c>
      <c r="D39" s="6">
        <v>167.67819059962085</v>
      </c>
      <c r="E39" s="6">
        <v>184.68466478191539</v>
      </c>
      <c r="F39" s="6">
        <v>135.70514241666959</v>
      </c>
      <c r="G39" s="6">
        <v>82.429618603379026</v>
      </c>
      <c r="H39" s="6">
        <v>111.21847500116426</v>
      </c>
      <c r="I39" s="6">
        <v>93.849418077774558</v>
      </c>
      <c r="J39" s="6">
        <v>133.64237896232817</v>
      </c>
      <c r="K39" s="6">
        <v>158.90166218055404</v>
      </c>
      <c r="L39" s="6">
        <v>89.1380239515575</v>
      </c>
      <c r="M39" s="6">
        <v>69.903006709276468</v>
      </c>
      <c r="N39" s="6">
        <v>114.08753542973228</v>
      </c>
      <c r="O39" s="6">
        <v>118.08087016171673</v>
      </c>
      <c r="P39" s="6">
        <v>118.55494416863966</v>
      </c>
      <c r="Q39" s="6">
        <v>127.3299469333375</v>
      </c>
      <c r="R39" s="6">
        <v>100.94644788791202</v>
      </c>
      <c r="S39" s="6">
        <v>76.34128060891274</v>
      </c>
      <c r="T39" s="6">
        <v>66.329543716194138</v>
      </c>
      <c r="U39" s="6">
        <v>35.151285057250725</v>
      </c>
    </row>
    <row r="40" spans="1:21" x14ac:dyDescent="0.3">
      <c r="A40" s="112" t="s">
        <v>244</v>
      </c>
      <c r="B40" s="6">
        <v>3.3564824672770821</v>
      </c>
      <c r="C40" s="6">
        <v>2.1639869186375509</v>
      </c>
      <c r="D40" s="6">
        <v>8.7982933714454976</v>
      </c>
      <c r="E40" s="6">
        <v>2.5674196022141675</v>
      </c>
      <c r="F40" s="6">
        <v>0.8757981349016859</v>
      </c>
      <c r="G40" s="6">
        <v>4.4584475262182819</v>
      </c>
      <c r="H40" s="6">
        <v>2.2303474930545977</v>
      </c>
      <c r="I40" s="6">
        <v>3.417308458541839</v>
      </c>
      <c r="J40" s="6">
        <v>5.8917197353963529</v>
      </c>
      <c r="K40" s="6">
        <v>4.3855500627968134</v>
      </c>
      <c r="L40" s="6">
        <v>-5.9682563499505514</v>
      </c>
      <c r="M40" s="6">
        <v>14.37555332976271</v>
      </c>
      <c r="N40" s="6">
        <v>12.869633249098458</v>
      </c>
      <c r="O40" s="6">
        <v>10.368047070893921</v>
      </c>
      <c r="P40" s="6">
        <v>-0.63818549856493623</v>
      </c>
      <c r="Q40" s="6">
        <v>4.4841187592755185</v>
      </c>
      <c r="R40" s="6">
        <v>1.6983475111323867</v>
      </c>
      <c r="S40" s="6">
        <v>7.4828517864215094</v>
      </c>
      <c r="T40" s="6">
        <v>4.7654205569269985</v>
      </c>
      <c r="U40" s="6" t="s">
        <v>51</v>
      </c>
    </row>
    <row r="41" spans="1:21" x14ac:dyDescent="0.3">
      <c r="A41" s="118" t="s">
        <v>86</v>
      </c>
      <c r="B41" s="6">
        <v>183.57135604231544</v>
      </c>
      <c r="C41" s="6">
        <v>153.18321276506788</v>
      </c>
      <c r="D41" s="6">
        <v>175.79950150241072</v>
      </c>
      <c r="E41" s="6">
        <v>184.68466478191539</v>
      </c>
      <c r="F41" s="6">
        <v>136.58094055157133</v>
      </c>
      <c r="G41" s="6">
        <v>86.263448588628592</v>
      </c>
      <c r="H41" s="6">
        <v>113.44882249421885</v>
      </c>
      <c r="I41" s="6">
        <v>97.027212246799621</v>
      </c>
      <c r="J41" s="6">
        <v>139.53409869772449</v>
      </c>
      <c r="K41" s="6">
        <v>162.91358961714687</v>
      </c>
      <c r="L41" s="6">
        <v>83.169767601606949</v>
      </c>
      <c r="M41" s="6">
        <v>84.175827584536094</v>
      </c>
      <c r="N41" s="6">
        <v>126.39847530679985</v>
      </c>
      <c r="O41" s="6">
        <v>128.17339520223331</v>
      </c>
      <c r="P41" s="6">
        <v>117.91675867007474</v>
      </c>
      <c r="Q41" s="6">
        <v>131.43954727845124</v>
      </c>
      <c r="R41" s="6">
        <v>102.43790616392867</v>
      </c>
      <c r="S41" s="6">
        <v>83.824132395334274</v>
      </c>
      <c r="T41" s="6">
        <v>71.094964273121121</v>
      </c>
      <c r="U41" s="6">
        <v>35.151285057250725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505B-DDDA-47A5-B435-552281122EF0}">
  <sheetPr>
    <tabColor theme="3" tint="0.249977111117893"/>
  </sheetPr>
  <dimension ref="A1:U12"/>
  <sheetViews>
    <sheetView showGridLines="0" workbookViewId="0">
      <selection activeCell="A12" sqref="A12"/>
    </sheetView>
  </sheetViews>
  <sheetFormatPr baseColWidth="10" defaultRowHeight="14.4" x14ac:dyDescent="0.3"/>
  <cols>
    <col min="1" max="1" width="37" customWidth="1"/>
  </cols>
  <sheetData>
    <row r="1" spans="1:21" x14ac:dyDescent="0.3">
      <c r="A1" s="12" t="s">
        <v>252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4" t="s">
        <v>20</v>
      </c>
    </row>
    <row r="2" spans="1:21" x14ac:dyDescent="0.3">
      <c r="A2" s="15" t="s">
        <v>103</v>
      </c>
      <c r="B2" s="3">
        <v>45747</v>
      </c>
      <c r="C2" s="3">
        <v>45657</v>
      </c>
      <c r="D2" s="3">
        <v>45565</v>
      </c>
      <c r="E2" s="3">
        <v>45473</v>
      </c>
      <c r="F2" s="3">
        <v>45382</v>
      </c>
      <c r="G2" s="3">
        <v>45291</v>
      </c>
      <c r="H2" s="3">
        <v>45199</v>
      </c>
      <c r="I2" s="3">
        <v>45107</v>
      </c>
      <c r="J2" s="3">
        <v>45016</v>
      </c>
      <c r="K2" s="3">
        <v>44926</v>
      </c>
      <c r="L2" s="3">
        <v>44834</v>
      </c>
      <c r="M2" s="3">
        <v>44742</v>
      </c>
      <c r="N2" s="3">
        <v>44651</v>
      </c>
      <c r="O2" s="3">
        <v>44561</v>
      </c>
      <c r="P2" s="3">
        <v>44469</v>
      </c>
      <c r="Q2" s="3">
        <v>44377</v>
      </c>
      <c r="R2" s="3">
        <v>44286</v>
      </c>
      <c r="S2" s="3">
        <v>44196</v>
      </c>
      <c r="T2" s="3">
        <v>44104</v>
      </c>
      <c r="U2" s="4">
        <v>44012</v>
      </c>
    </row>
    <row r="3" spans="1:21" x14ac:dyDescent="0.3">
      <c r="A3" s="9"/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28</v>
      </c>
      <c r="I3" s="10" t="s">
        <v>29</v>
      </c>
      <c r="J3" s="10" t="s">
        <v>30</v>
      </c>
      <c r="K3" s="10" t="s">
        <v>31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36</v>
      </c>
      <c r="Q3" s="10" t="s">
        <v>37</v>
      </c>
      <c r="R3" s="10" t="s">
        <v>38</v>
      </c>
      <c r="S3" s="10" t="s">
        <v>39</v>
      </c>
      <c r="T3" s="10" t="s">
        <v>40</v>
      </c>
      <c r="U3" s="10" t="s">
        <v>41</v>
      </c>
    </row>
    <row r="4" spans="1:21" x14ac:dyDescent="0.3">
      <c r="A4" s="9" t="s">
        <v>251</v>
      </c>
      <c r="B4" s="17" t="s">
        <v>51</v>
      </c>
      <c r="C4" s="17" t="s">
        <v>51</v>
      </c>
      <c r="D4" s="17" t="s">
        <v>51</v>
      </c>
      <c r="E4" s="17" t="s">
        <v>51</v>
      </c>
      <c r="F4" s="17" t="s">
        <v>51</v>
      </c>
      <c r="G4" s="17" t="s">
        <v>51</v>
      </c>
      <c r="H4" s="17" t="s">
        <v>51</v>
      </c>
      <c r="I4" s="17" t="s">
        <v>51</v>
      </c>
      <c r="J4" s="17" t="s">
        <v>51</v>
      </c>
      <c r="K4" s="17" t="s">
        <v>51</v>
      </c>
      <c r="L4" s="17" t="s">
        <v>51</v>
      </c>
      <c r="M4" s="17" t="s">
        <v>51</v>
      </c>
      <c r="N4" s="17" t="s">
        <v>51</v>
      </c>
      <c r="O4" s="17" t="s">
        <v>51</v>
      </c>
      <c r="P4" s="17" t="s">
        <v>51</v>
      </c>
      <c r="Q4" s="17" t="s">
        <v>51</v>
      </c>
      <c r="R4" s="17" t="s">
        <v>51</v>
      </c>
      <c r="S4" s="17" t="s">
        <v>51</v>
      </c>
      <c r="T4" s="17" t="s">
        <v>51</v>
      </c>
      <c r="U4" s="17" t="s">
        <v>51</v>
      </c>
    </row>
    <row r="5" spans="1:21" x14ac:dyDescent="0.3">
      <c r="A5" s="9" t="s">
        <v>253</v>
      </c>
      <c r="B5" s="17">
        <v>1.2040726804634123</v>
      </c>
      <c r="C5" s="17">
        <v>1.0051527306450612</v>
      </c>
      <c r="D5" s="17">
        <v>1.178417667849059</v>
      </c>
      <c r="E5" s="17" t="s">
        <v>51</v>
      </c>
      <c r="F5" s="17">
        <v>0.92147310989935383</v>
      </c>
      <c r="G5" s="17">
        <v>0.584014918245916</v>
      </c>
      <c r="H5" s="17">
        <v>0.78640502687004188</v>
      </c>
      <c r="I5" s="17">
        <v>0.70638704569430477</v>
      </c>
      <c r="J5" s="17">
        <v>1.0562988890202749</v>
      </c>
      <c r="K5" s="17">
        <v>1.1536810221072431</v>
      </c>
      <c r="L5" s="17">
        <v>0.60334250103386966</v>
      </c>
      <c r="M5" s="17">
        <v>0.6484927574874757</v>
      </c>
      <c r="N5" s="17">
        <v>1.08697821761165</v>
      </c>
      <c r="O5" s="17">
        <v>1.1274977771493424</v>
      </c>
      <c r="P5" s="17">
        <v>1.074240916522549</v>
      </c>
      <c r="Q5" s="17">
        <v>1.2015831586632877</v>
      </c>
      <c r="R5" s="17">
        <v>0.96636567806943308</v>
      </c>
      <c r="S5" s="17">
        <v>0.80596914442571022</v>
      </c>
      <c r="T5" s="17">
        <v>0.67520964795790384</v>
      </c>
      <c r="U5" s="17">
        <v>0.32750738551083119</v>
      </c>
    </row>
    <row r="6" spans="1:21" x14ac:dyDescent="0.3">
      <c r="A6" s="9" t="s">
        <v>254</v>
      </c>
      <c r="B6" s="17">
        <v>1.2040726804634123</v>
      </c>
      <c r="C6" s="17">
        <v>1.0051527306450612</v>
      </c>
      <c r="D6" s="17">
        <v>1.178417667849059</v>
      </c>
      <c r="E6" s="17" t="s">
        <v>51</v>
      </c>
      <c r="F6" s="17">
        <v>0.91953852472601094</v>
      </c>
      <c r="G6" s="17">
        <v>0.584014918245916</v>
      </c>
      <c r="H6" s="17">
        <v>0.78513581592132797</v>
      </c>
      <c r="I6" s="17">
        <v>0.70638704569430477</v>
      </c>
      <c r="J6" s="17">
        <v>1.0545018016997096</v>
      </c>
      <c r="K6" s="17">
        <v>1.1536810221072431</v>
      </c>
      <c r="L6" s="17">
        <v>0.60206944399137186</v>
      </c>
      <c r="M6" s="17">
        <v>0.6484927574874757</v>
      </c>
      <c r="N6" s="17">
        <v>1.08697821761165</v>
      </c>
      <c r="O6" s="17">
        <v>1.1274977771493424</v>
      </c>
      <c r="P6" s="17">
        <v>1.0720919116207495</v>
      </c>
      <c r="Q6" s="17">
        <v>1.2015831586632877</v>
      </c>
      <c r="R6" s="17">
        <v>0.96636567806943308</v>
      </c>
      <c r="S6" s="17">
        <v>0.80268073424040598</v>
      </c>
      <c r="T6" s="17">
        <v>0.67087510026335662</v>
      </c>
      <c r="U6" s="17">
        <v>0.32750738551083119</v>
      </c>
    </row>
    <row r="7" spans="1:21" x14ac:dyDescent="0.3">
      <c r="A7" s="9"/>
      <c r="B7" s="17" t="s">
        <v>51</v>
      </c>
      <c r="C7" s="17" t="s">
        <v>51</v>
      </c>
      <c r="D7" s="17" t="s">
        <v>51</v>
      </c>
      <c r="E7" s="17" t="s">
        <v>51</v>
      </c>
      <c r="F7" s="17" t="s">
        <v>51</v>
      </c>
      <c r="G7" s="17" t="s">
        <v>51</v>
      </c>
      <c r="H7" s="17" t="s">
        <v>51</v>
      </c>
      <c r="I7" s="17" t="s">
        <v>51</v>
      </c>
      <c r="J7" s="17" t="s">
        <v>51</v>
      </c>
      <c r="K7" s="17" t="s">
        <v>51</v>
      </c>
      <c r="L7" s="17" t="s">
        <v>51</v>
      </c>
      <c r="M7" s="17" t="s">
        <v>51</v>
      </c>
      <c r="N7" s="17" t="s">
        <v>51</v>
      </c>
      <c r="O7" s="17" t="s">
        <v>51</v>
      </c>
      <c r="P7" s="17" t="s">
        <v>51</v>
      </c>
      <c r="Q7" s="17" t="s">
        <v>51</v>
      </c>
      <c r="R7" s="17" t="s">
        <v>51</v>
      </c>
      <c r="S7" s="17" t="s">
        <v>51</v>
      </c>
      <c r="T7" s="17" t="s">
        <v>51</v>
      </c>
      <c r="U7" s="17" t="s">
        <v>51</v>
      </c>
    </row>
    <row r="8" spans="1:21" x14ac:dyDescent="0.3">
      <c r="A8" s="9" t="s">
        <v>255</v>
      </c>
      <c r="B8" s="17" t="s">
        <v>51</v>
      </c>
      <c r="C8" s="17" t="s">
        <v>51</v>
      </c>
      <c r="D8" s="17" t="s">
        <v>51</v>
      </c>
      <c r="E8" s="17" t="s">
        <v>51</v>
      </c>
      <c r="F8" s="17" t="s">
        <v>51</v>
      </c>
      <c r="G8" s="17" t="s">
        <v>51</v>
      </c>
      <c r="H8" s="17" t="s">
        <v>51</v>
      </c>
      <c r="I8" s="17" t="s">
        <v>51</v>
      </c>
      <c r="J8" s="17" t="s">
        <v>51</v>
      </c>
      <c r="K8" s="17" t="s">
        <v>51</v>
      </c>
      <c r="L8" s="17" t="s">
        <v>51</v>
      </c>
      <c r="M8" s="17" t="s">
        <v>51</v>
      </c>
      <c r="N8" s="17" t="s">
        <v>51</v>
      </c>
      <c r="O8" s="17" t="s">
        <v>51</v>
      </c>
      <c r="P8" s="17" t="s">
        <v>51</v>
      </c>
      <c r="Q8" s="17" t="s">
        <v>51</v>
      </c>
      <c r="R8" s="17" t="s">
        <v>51</v>
      </c>
      <c r="S8" s="17" t="s">
        <v>51</v>
      </c>
      <c r="T8" s="17" t="s">
        <v>51</v>
      </c>
      <c r="U8" s="17" t="s">
        <v>51</v>
      </c>
    </row>
    <row r="9" spans="1:21" x14ac:dyDescent="0.3">
      <c r="A9" s="9" t="s">
        <v>256</v>
      </c>
      <c r="B9" s="17">
        <v>0.2</v>
      </c>
      <c r="C9" s="17">
        <v>0.2</v>
      </c>
      <c r="D9" s="17">
        <v>0.5</v>
      </c>
      <c r="E9" s="17" t="s">
        <v>51</v>
      </c>
      <c r="F9" s="17">
        <v>0.2</v>
      </c>
      <c r="G9" s="17">
        <v>0.4</v>
      </c>
      <c r="H9" s="17">
        <v>0.5</v>
      </c>
      <c r="I9" s="17">
        <v>0.6</v>
      </c>
      <c r="J9" s="17">
        <v>0.4</v>
      </c>
      <c r="K9" s="17">
        <v>0.3</v>
      </c>
      <c r="L9" s="17">
        <v>1</v>
      </c>
      <c r="M9" s="17">
        <v>0.1</v>
      </c>
      <c r="N9" s="17">
        <v>0.4</v>
      </c>
      <c r="O9" s="17">
        <v>0.3</v>
      </c>
      <c r="P9" s="17">
        <v>1</v>
      </c>
      <c r="Q9" s="17">
        <v>0.6</v>
      </c>
      <c r="R9" s="17">
        <v>0.4</v>
      </c>
      <c r="S9" s="17">
        <v>0.3</v>
      </c>
      <c r="T9" s="17">
        <v>1</v>
      </c>
      <c r="U9" s="17">
        <v>0.6</v>
      </c>
    </row>
    <row r="10" spans="1:21" x14ac:dyDescent="0.3">
      <c r="A10" s="9" t="s">
        <v>257</v>
      </c>
      <c r="B10" s="17">
        <v>0.158</v>
      </c>
      <c r="C10" s="17">
        <v>0.158</v>
      </c>
      <c r="D10" s="17">
        <v>0.39500000000000002</v>
      </c>
      <c r="E10" s="17" t="s">
        <v>51</v>
      </c>
      <c r="F10" s="17">
        <v>0.158</v>
      </c>
      <c r="G10" s="17">
        <v>0.316</v>
      </c>
      <c r="H10" s="17">
        <v>0.39500000000000002</v>
      </c>
      <c r="I10" s="17">
        <v>0.47399999999999998</v>
      </c>
      <c r="J10" s="17">
        <v>0.316</v>
      </c>
      <c r="K10" s="17">
        <v>0.23699999999999999</v>
      </c>
      <c r="L10" s="17">
        <v>0.79</v>
      </c>
      <c r="M10" s="17">
        <v>7.9000000000000001E-2</v>
      </c>
      <c r="N10" s="17">
        <v>0.316</v>
      </c>
      <c r="O10" s="17">
        <v>0.23699999999999999</v>
      </c>
      <c r="P10" s="17">
        <v>0.79</v>
      </c>
      <c r="Q10" s="17">
        <v>0.47399999999999998</v>
      </c>
      <c r="R10" s="17">
        <v>0.316</v>
      </c>
      <c r="S10" s="17">
        <v>0.23699999999999999</v>
      </c>
      <c r="T10" s="17">
        <v>0.79</v>
      </c>
      <c r="U10" s="17">
        <v>0.47399999999999998</v>
      </c>
    </row>
    <row r="11" spans="1:21" x14ac:dyDescent="0.3">
      <c r="A11" s="9" t="s">
        <v>258</v>
      </c>
      <c r="B11" s="17">
        <v>1.9704921279334588E-4</v>
      </c>
      <c r="C11" s="17">
        <v>1.9758722018442515E-4</v>
      </c>
      <c r="D11" s="17">
        <v>4.9336672922969472E-4</v>
      </c>
      <c r="E11" s="17" t="s">
        <v>51</v>
      </c>
      <c r="F11" s="17">
        <v>1.9615078298306166E-4</v>
      </c>
      <c r="G11" s="17">
        <v>3.9326308941211864E-4</v>
      </c>
      <c r="H11" s="17">
        <v>4.9133848090364928E-4</v>
      </c>
      <c r="I11" s="17">
        <v>5.8941387239518019E-4</v>
      </c>
      <c r="J11" s="17">
        <v>3.9326308941211864E-4</v>
      </c>
      <c r="K11" s="17">
        <v>2.9518769792058778E-4</v>
      </c>
      <c r="L11" s="17">
        <v>9.8267696180729855E-4</v>
      </c>
      <c r="M11" s="17">
        <v>9.8075391491530829E-5</v>
      </c>
      <c r="N11" s="17">
        <v>3.9326308941211864E-4</v>
      </c>
      <c r="O11" s="17">
        <v>2.9518769792058778E-4</v>
      </c>
      <c r="P11" s="17">
        <v>9.8267696180729855E-4</v>
      </c>
      <c r="Q11" s="17">
        <v>5.8941387239518019E-4</v>
      </c>
      <c r="R11" s="17">
        <v>3.9326308941211864E-4</v>
      </c>
      <c r="S11" s="17">
        <v>2.9518769792058778E-4</v>
      </c>
      <c r="T11" s="17">
        <v>9.8267696180729855E-4</v>
      </c>
      <c r="U11" s="17">
        <v>5.8941387239518019E-4</v>
      </c>
    </row>
    <row r="12" spans="1:21" x14ac:dyDescent="0.3">
      <c r="A12" s="9" t="s">
        <v>259</v>
      </c>
      <c r="B12" s="17">
        <v>1.9704921279334588E-4</v>
      </c>
      <c r="C12" s="17">
        <v>1.9758722018442515E-4</v>
      </c>
      <c r="D12" s="17">
        <v>4.9336672922969472E-4</v>
      </c>
      <c r="E12" s="17" t="s">
        <v>51</v>
      </c>
      <c r="F12" s="17">
        <v>1.9615078298306166E-4</v>
      </c>
      <c r="G12" s="17">
        <v>3.9326308941211864E-4</v>
      </c>
      <c r="H12" s="17">
        <v>4.9133848090364928E-4</v>
      </c>
      <c r="I12" s="17">
        <v>5.8941387239518019E-4</v>
      </c>
      <c r="J12" s="17">
        <v>3.9326308941211864E-4</v>
      </c>
      <c r="K12" s="17">
        <v>2.9518769792058778E-4</v>
      </c>
      <c r="L12" s="17">
        <v>9.8267696180729855E-4</v>
      </c>
      <c r="M12" s="17">
        <v>9.8075391491530829E-5</v>
      </c>
      <c r="N12" s="17">
        <v>3.9326308941211864E-4</v>
      </c>
      <c r="O12" s="17">
        <v>2.9518769792058778E-4</v>
      </c>
      <c r="P12" s="17">
        <v>9.8267696180729855E-4</v>
      </c>
      <c r="Q12" s="17">
        <v>5.8941387239518019E-4</v>
      </c>
      <c r="R12" s="17">
        <v>3.9326308941211864E-4</v>
      </c>
      <c r="S12" s="17">
        <v>2.9518769792058778E-4</v>
      </c>
      <c r="T12" s="17">
        <v>9.8267696180729855E-4</v>
      </c>
      <c r="U12" s="17">
        <v>5.8941387239518019E-4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D18E-A771-4C7B-A7D4-9A1666FAC973}">
  <sheetPr>
    <tabColor theme="3" tint="0.249977111117893"/>
  </sheetPr>
  <dimension ref="A1:U22"/>
  <sheetViews>
    <sheetView showGridLines="0" workbookViewId="0">
      <selection activeCell="B4" sqref="B4"/>
    </sheetView>
  </sheetViews>
  <sheetFormatPr baseColWidth="10" defaultRowHeight="14.4" x14ac:dyDescent="0.3"/>
  <cols>
    <col min="1" max="1" width="30.33203125" style="113" customWidth="1"/>
  </cols>
  <sheetData>
    <row r="1" spans="1:21" x14ac:dyDescent="0.3">
      <c r="A1" s="110" t="s">
        <v>260</v>
      </c>
      <c r="B1" s="108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4" t="s">
        <v>20</v>
      </c>
    </row>
    <row r="2" spans="1:21" x14ac:dyDescent="0.3">
      <c r="A2" s="111" t="s">
        <v>103</v>
      </c>
      <c r="B2" s="109">
        <v>45747</v>
      </c>
      <c r="C2" s="3">
        <v>45657</v>
      </c>
      <c r="D2" s="3">
        <v>45565</v>
      </c>
      <c r="E2" s="3">
        <v>45473</v>
      </c>
      <c r="F2" s="3">
        <v>45382</v>
      </c>
      <c r="G2" s="3">
        <v>45291</v>
      </c>
      <c r="H2" s="3">
        <v>45199</v>
      </c>
      <c r="I2" s="3">
        <v>45107</v>
      </c>
      <c r="J2" s="3">
        <v>45016</v>
      </c>
      <c r="K2" s="3">
        <v>44926</v>
      </c>
      <c r="L2" s="3">
        <v>44834</v>
      </c>
      <c r="M2" s="3">
        <v>44742</v>
      </c>
      <c r="N2" s="3">
        <v>44651</v>
      </c>
      <c r="O2" s="3">
        <v>44561</v>
      </c>
      <c r="P2" s="3">
        <v>44469</v>
      </c>
      <c r="Q2" s="3">
        <v>44377</v>
      </c>
      <c r="R2" s="3">
        <v>44286</v>
      </c>
      <c r="S2" s="3">
        <v>44196</v>
      </c>
      <c r="T2" s="3">
        <v>44104</v>
      </c>
      <c r="U2" s="4">
        <v>44012</v>
      </c>
    </row>
    <row r="3" spans="1:21" x14ac:dyDescent="0.3">
      <c r="A3" s="118" t="s">
        <v>261</v>
      </c>
      <c r="B3" s="16" t="s">
        <v>51</v>
      </c>
      <c r="C3" s="16" t="s">
        <v>51</v>
      </c>
      <c r="D3" s="16" t="s">
        <v>51</v>
      </c>
      <c r="E3" s="16" t="s">
        <v>51</v>
      </c>
      <c r="F3" s="16" t="s">
        <v>51</v>
      </c>
      <c r="G3" s="16" t="s">
        <v>51</v>
      </c>
      <c r="H3" s="16" t="s">
        <v>51</v>
      </c>
      <c r="I3" s="16" t="s">
        <v>51</v>
      </c>
      <c r="J3" s="16" t="s">
        <v>51</v>
      </c>
      <c r="K3" s="16" t="s">
        <v>51</v>
      </c>
      <c r="L3" s="16" t="s">
        <v>51</v>
      </c>
      <c r="M3" s="16" t="s">
        <v>51</v>
      </c>
      <c r="N3" s="16" t="s">
        <v>51</v>
      </c>
      <c r="O3" s="16" t="s">
        <v>51</v>
      </c>
      <c r="P3" s="16" t="s">
        <v>51</v>
      </c>
      <c r="Q3" s="16" t="s">
        <v>51</v>
      </c>
      <c r="R3" s="16" t="s">
        <v>51</v>
      </c>
      <c r="S3" s="16" t="s">
        <v>51</v>
      </c>
      <c r="T3" s="16" t="s">
        <v>51</v>
      </c>
      <c r="U3" s="16" t="s">
        <v>51</v>
      </c>
    </row>
    <row r="4" spans="1:21" x14ac:dyDescent="0.3">
      <c r="A4" s="112" t="s">
        <v>262</v>
      </c>
      <c r="B4" s="17">
        <v>42.81630625365284</v>
      </c>
      <c r="C4" s="17">
        <v>41.473670251241742</v>
      </c>
      <c r="D4" s="17">
        <v>37.251557080968219</v>
      </c>
      <c r="E4" s="17">
        <v>34.066569058077114</v>
      </c>
      <c r="F4" s="17">
        <v>30.758408068170933</v>
      </c>
      <c r="G4" s="17">
        <v>32.480728666068906</v>
      </c>
      <c r="H4" s="17">
        <v>38.869105776012965</v>
      </c>
      <c r="I4" s="17">
        <v>36.429360847051548</v>
      </c>
      <c r="J4" s="17">
        <v>34.165398667526333</v>
      </c>
      <c r="K4" s="17">
        <v>34.578954501213545</v>
      </c>
      <c r="L4" s="17">
        <v>35.569859795183497</v>
      </c>
      <c r="M4" s="17">
        <v>40.7114707906875</v>
      </c>
      <c r="N4" s="17">
        <v>46.010378813959122</v>
      </c>
      <c r="O4" s="17">
        <v>45.681943541043324</v>
      </c>
      <c r="P4" s="17">
        <v>43.043426484598285</v>
      </c>
      <c r="Q4" s="17">
        <v>39.78850668295</v>
      </c>
      <c r="R4" s="17">
        <v>31.262188142936388</v>
      </c>
      <c r="S4" s="17">
        <v>23.714743749599222</v>
      </c>
      <c r="T4" s="17">
        <v>19.104844478161915</v>
      </c>
      <c r="U4" s="17">
        <v>17.248447846156115</v>
      </c>
    </row>
    <row r="5" spans="1:21" x14ac:dyDescent="0.3">
      <c r="A5" s="112" t="s">
        <v>263</v>
      </c>
      <c r="B5" s="17">
        <v>20.026708218859778</v>
      </c>
      <c r="C5" s="17">
        <v>19.414641579285977</v>
      </c>
      <c r="D5" s="17">
        <v>17.547151679597519</v>
      </c>
      <c r="E5" s="17">
        <v>16.084799465394678</v>
      </c>
      <c r="F5" s="17">
        <v>14.126058992864806</v>
      </c>
      <c r="G5" s="17">
        <v>14.808412273143018</v>
      </c>
      <c r="H5" s="17">
        <v>17.479578949841695</v>
      </c>
      <c r="I5" s="17">
        <v>16.606423769120106</v>
      </c>
      <c r="J5" s="17">
        <v>15.796872427048852</v>
      </c>
      <c r="K5" s="17">
        <v>15.778889669711877</v>
      </c>
      <c r="L5" s="17">
        <v>15.830298208475996</v>
      </c>
      <c r="M5" s="17">
        <v>18.17644879354566</v>
      </c>
      <c r="N5" s="17">
        <v>20.551748883010077</v>
      </c>
      <c r="O5" s="17">
        <v>19.927142415326259</v>
      </c>
      <c r="P5" s="17">
        <v>18.935815383003433</v>
      </c>
      <c r="Q5" s="17">
        <v>17.505546202433404</v>
      </c>
      <c r="R5" s="17">
        <v>13.317844205337137</v>
      </c>
      <c r="S5" s="17">
        <v>9.9790069527101775</v>
      </c>
      <c r="T5" s="17">
        <v>8.0756868685634693</v>
      </c>
      <c r="U5" s="17">
        <v>7.5095667360094511</v>
      </c>
    </row>
    <row r="6" spans="1:21" x14ac:dyDescent="0.3">
      <c r="A6" s="112" t="s">
        <v>264</v>
      </c>
      <c r="B6" s="17">
        <v>24.222991945297718</v>
      </c>
      <c r="C6" s="17">
        <v>23.882436463103211</v>
      </c>
      <c r="D6" s="17">
        <v>21.588487776823172</v>
      </c>
      <c r="E6" s="17">
        <v>19.727675225933201</v>
      </c>
      <c r="F6" s="17">
        <v>17.530405570089982</v>
      </c>
      <c r="G6" s="17">
        <v>18.346479901805775</v>
      </c>
      <c r="H6" s="17">
        <v>21.385644680082095</v>
      </c>
      <c r="I6" s="17">
        <v>20.26665484376133</v>
      </c>
      <c r="J6" s="17">
        <v>19.447253812140815</v>
      </c>
      <c r="K6" s="17">
        <v>19.600620898248415</v>
      </c>
      <c r="L6" s="17">
        <v>19.606945420210099</v>
      </c>
      <c r="M6" s="17">
        <v>22.148908544695871</v>
      </c>
      <c r="N6" s="17">
        <v>24.932383662805417</v>
      </c>
      <c r="O6" s="17">
        <v>24.550109816509792</v>
      </c>
      <c r="P6" s="17">
        <v>23.032118092299864</v>
      </c>
      <c r="Q6" s="17">
        <v>21.14044642056896</v>
      </c>
      <c r="R6" s="17">
        <v>16.436580396655863</v>
      </c>
      <c r="S6" s="17">
        <v>12.715785351702833</v>
      </c>
      <c r="T6" s="17">
        <v>10.447517287974158</v>
      </c>
      <c r="U6" s="17">
        <v>9.7908709503655249</v>
      </c>
    </row>
    <row r="7" spans="1:21" x14ac:dyDescent="0.3">
      <c r="A7" s="112" t="s">
        <v>265</v>
      </c>
      <c r="B7" s="17">
        <v>23.572608041205683</v>
      </c>
      <c r="C7" s="17">
        <v>22.817267392944657</v>
      </c>
      <c r="D7" s="17">
        <v>20.735523665990303</v>
      </c>
      <c r="E7" s="17">
        <v>19.146629303659591</v>
      </c>
      <c r="F7" s="17">
        <v>17.039827645642351</v>
      </c>
      <c r="G7" s="17">
        <v>17.81408950406113</v>
      </c>
      <c r="H7" s="17">
        <v>20.500480908346919</v>
      </c>
      <c r="I7" s="17">
        <v>19.340496868483385</v>
      </c>
      <c r="J7" s="17">
        <v>18.606196176749421</v>
      </c>
      <c r="K7" s="17">
        <v>18.479984262549401</v>
      </c>
      <c r="L7" s="17">
        <v>19.066718948705844</v>
      </c>
      <c r="M7" s="17">
        <v>21.805763996114187</v>
      </c>
      <c r="N7" s="17">
        <v>24.717119531597316</v>
      </c>
      <c r="O7" s="17">
        <v>23.875951080010843</v>
      </c>
      <c r="P7" s="17">
        <v>22.586339276479926</v>
      </c>
      <c r="Q7" s="17">
        <v>20.906918180026992</v>
      </c>
      <c r="R7" s="17">
        <v>16.330391785221611</v>
      </c>
      <c r="S7" s="17">
        <v>12.53720954485447</v>
      </c>
      <c r="T7" s="17">
        <v>10.464801660364722</v>
      </c>
      <c r="U7" s="17">
        <v>9.8092335095374938</v>
      </c>
    </row>
    <row r="8" spans="1:21" x14ac:dyDescent="0.3">
      <c r="A8" s="118"/>
      <c r="B8" s="16" t="s">
        <v>51</v>
      </c>
      <c r="C8" s="16" t="s">
        <v>51</v>
      </c>
      <c r="D8" s="16" t="s">
        <v>51</v>
      </c>
      <c r="E8" s="16" t="s">
        <v>51</v>
      </c>
      <c r="F8" s="16" t="s">
        <v>51</v>
      </c>
      <c r="G8" s="16" t="s">
        <v>51</v>
      </c>
      <c r="H8" s="16" t="s">
        <v>51</v>
      </c>
      <c r="I8" s="16" t="s">
        <v>51</v>
      </c>
      <c r="J8" s="16" t="s">
        <v>51</v>
      </c>
      <c r="K8" s="16" t="s">
        <v>51</v>
      </c>
      <c r="L8" s="16" t="s">
        <v>51</v>
      </c>
      <c r="M8" s="16" t="s">
        <v>51</v>
      </c>
      <c r="N8" s="16" t="s">
        <v>51</v>
      </c>
      <c r="O8" s="16" t="s">
        <v>51</v>
      </c>
      <c r="P8" s="16" t="s">
        <v>51</v>
      </c>
      <c r="Q8" s="16" t="s">
        <v>51</v>
      </c>
      <c r="R8" s="16" t="s">
        <v>51</v>
      </c>
      <c r="S8" s="16" t="s">
        <v>51</v>
      </c>
      <c r="T8" s="16" t="s">
        <v>51</v>
      </c>
      <c r="U8" s="16" t="s">
        <v>51</v>
      </c>
    </row>
    <row r="9" spans="1:21" x14ac:dyDescent="0.3">
      <c r="A9" s="118" t="s">
        <v>266</v>
      </c>
      <c r="B9" s="16" t="s">
        <v>51</v>
      </c>
      <c r="C9" s="16" t="s">
        <v>51</v>
      </c>
      <c r="D9" s="16" t="s">
        <v>51</v>
      </c>
      <c r="E9" s="16" t="s">
        <v>51</v>
      </c>
      <c r="F9" s="16" t="s">
        <v>51</v>
      </c>
      <c r="G9" s="16" t="s">
        <v>51</v>
      </c>
      <c r="H9" s="16" t="s">
        <v>51</v>
      </c>
      <c r="I9" s="16" t="s">
        <v>51</v>
      </c>
      <c r="J9" s="16" t="s">
        <v>51</v>
      </c>
      <c r="K9" s="16" t="s">
        <v>51</v>
      </c>
      <c r="L9" s="16" t="s">
        <v>51</v>
      </c>
      <c r="M9" s="16" t="s">
        <v>51</v>
      </c>
      <c r="N9" s="16" t="s">
        <v>51</v>
      </c>
      <c r="O9" s="16" t="s">
        <v>51</v>
      </c>
      <c r="P9" s="16" t="s">
        <v>51</v>
      </c>
      <c r="Q9" s="16" t="s">
        <v>51</v>
      </c>
      <c r="R9" s="16" t="s">
        <v>51</v>
      </c>
      <c r="S9" s="16" t="s">
        <v>51</v>
      </c>
      <c r="T9" s="16" t="s">
        <v>51</v>
      </c>
      <c r="U9" s="16" t="s">
        <v>51</v>
      </c>
    </row>
    <row r="10" spans="1:21" x14ac:dyDescent="0.3">
      <c r="A10" s="112" t="s">
        <v>267</v>
      </c>
      <c r="B10" s="17">
        <v>57.743681732278418</v>
      </c>
      <c r="C10" s="17">
        <v>56.473799518730019</v>
      </c>
      <c r="D10" s="17">
        <v>58.268791156300118</v>
      </c>
      <c r="E10" s="17">
        <v>59.949331366449663</v>
      </c>
      <c r="F10" s="17">
        <v>55.473497961381653</v>
      </c>
      <c r="G10" s="17">
        <v>49.028576407039559</v>
      </c>
      <c r="H10" s="17">
        <v>53.077107279693479</v>
      </c>
      <c r="I10" s="17">
        <v>50.115182335810829</v>
      </c>
      <c r="J10" s="17">
        <v>57.256881062314321</v>
      </c>
      <c r="K10" s="17">
        <v>57.210225862496898</v>
      </c>
      <c r="L10" s="17">
        <v>47.243729426491718</v>
      </c>
      <c r="M10" s="17">
        <v>45.957778837400845</v>
      </c>
      <c r="N10" s="17">
        <v>61.730226499746735</v>
      </c>
      <c r="O10" s="17">
        <v>63.253886744342537</v>
      </c>
      <c r="P10" s="17">
        <v>65.403409302846057</v>
      </c>
      <c r="Q10" s="17">
        <v>65.982050396962379</v>
      </c>
      <c r="R10" s="17">
        <v>62.732477788746301</v>
      </c>
      <c r="S10" s="17">
        <v>55.39626494235759</v>
      </c>
      <c r="T10" s="17">
        <v>55.431872622234749</v>
      </c>
      <c r="U10" s="17">
        <v>45.295171950263246</v>
      </c>
    </row>
    <row r="11" spans="1:21" x14ac:dyDescent="0.3">
      <c r="A11" s="112" t="s">
        <v>268</v>
      </c>
      <c r="B11" s="17">
        <v>57.990326403792558</v>
      </c>
      <c r="C11" s="17">
        <v>56.193657292676789</v>
      </c>
      <c r="D11" s="17">
        <v>59.77686035006311</v>
      </c>
      <c r="E11" s="17">
        <v>58.265721707340532</v>
      </c>
      <c r="F11" s="17">
        <v>55.127317485960461</v>
      </c>
      <c r="G11" s="17">
        <v>49.485973166056809</v>
      </c>
      <c r="H11" s="17">
        <v>52.937420178799499</v>
      </c>
      <c r="I11" s="17">
        <v>50.606337201721217</v>
      </c>
      <c r="J11" s="17">
        <v>58.405812663302193</v>
      </c>
      <c r="K11" s="17">
        <v>57.770449952132751</v>
      </c>
      <c r="L11" s="17">
        <v>44.703046038295696</v>
      </c>
      <c r="M11" s="17">
        <v>50.249252243270192</v>
      </c>
      <c r="N11" s="17">
        <v>65.420797452782395</v>
      </c>
      <c r="O11" s="17">
        <v>65.601869887027661</v>
      </c>
      <c r="P11" s="17">
        <v>64.676041627811557</v>
      </c>
      <c r="Q11" s="17">
        <v>67.003797031411807</v>
      </c>
      <c r="R11" s="17">
        <v>63.060217176702857</v>
      </c>
      <c r="S11" s="17">
        <v>57.867869145360963</v>
      </c>
      <c r="T11" s="17">
        <v>57.047578789159736</v>
      </c>
      <c r="U11" s="17">
        <v>44.791083230648596</v>
      </c>
    </row>
    <row r="12" spans="1:21" x14ac:dyDescent="0.3">
      <c r="A12" s="112" t="s">
        <v>269</v>
      </c>
      <c r="B12" s="17">
        <v>49.899099907107846</v>
      </c>
      <c r="C12" s="17">
        <v>47.469741048019252</v>
      </c>
      <c r="D12" s="17">
        <v>51.523422839400858</v>
      </c>
      <c r="E12" s="17">
        <v>51.544110573068657</v>
      </c>
      <c r="F12" s="17">
        <v>45.991999384568047</v>
      </c>
      <c r="G12" s="17">
        <v>39.179299529534759</v>
      </c>
      <c r="H12" s="17">
        <v>43.299010217113668</v>
      </c>
      <c r="I12" s="17">
        <v>40.248619985221893</v>
      </c>
      <c r="J12" s="17">
        <v>50.073374136511681</v>
      </c>
      <c r="K12" s="17">
        <v>49.696840761621097</v>
      </c>
      <c r="L12" s="17">
        <v>34.461495665074871</v>
      </c>
      <c r="M12" s="17">
        <v>39.932376782695393</v>
      </c>
      <c r="N12" s="17">
        <v>57.265359287936903</v>
      </c>
      <c r="O12" s="17">
        <v>57.491943195098635</v>
      </c>
      <c r="P12" s="17">
        <v>56.022231340221573</v>
      </c>
      <c r="Q12" s="17">
        <v>59.264756644804976</v>
      </c>
      <c r="R12" s="17">
        <v>54.01382033563673</v>
      </c>
      <c r="S12" s="17">
        <v>48.466414259582251</v>
      </c>
      <c r="T12" s="17">
        <v>46.479733220609646</v>
      </c>
      <c r="U12" s="17">
        <v>32.328889884619691</v>
      </c>
    </row>
    <row r="13" spans="1:21" x14ac:dyDescent="0.3">
      <c r="A13" s="112" t="s">
        <v>270</v>
      </c>
      <c r="B13" s="17">
        <v>69.354529783566363</v>
      </c>
      <c r="C13" s="17">
        <v>86.412932269285818</v>
      </c>
      <c r="D13" s="17">
        <v>99.976487185516021</v>
      </c>
      <c r="E13" s="17">
        <v>83.329256360078233</v>
      </c>
      <c r="F13" s="17">
        <v>-104.73982483256057</v>
      </c>
      <c r="G13" s="17">
        <v>-95.711835334476774</v>
      </c>
      <c r="H13" s="17">
        <v>97.963865787209727</v>
      </c>
      <c r="I13" s="17" t="s">
        <v>51</v>
      </c>
      <c r="J13" s="17" t="s">
        <v>51</v>
      </c>
      <c r="K13" s="17">
        <v>-6523.5294117654093</v>
      </c>
      <c r="L13" s="17">
        <v>-144.77099236641223</v>
      </c>
      <c r="M13" s="17">
        <v>-134.84155227927474</v>
      </c>
      <c r="N13" s="17">
        <v>92.86640726329432</v>
      </c>
      <c r="O13" s="17">
        <v>102.34672304439749</v>
      </c>
      <c r="P13" s="17">
        <v>92.841609278724164</v>
      </c>
      <c r="Q13" s="17">
        <v>102.52788772939907</v>
      </c>
      <c r="R13" s="17">
        <v>102.68208661417324</v>
      </c>
      <c r="S13" s="17">
        <v>102.27776657931871</v>
      </c>
      <c r="T13" s="17">
        <v>102.29970326409502</v>
      </c>
      <c r="U13" s="17">
        <v>-418.40490797546124</v>
      </c>
    </row>
    <row r="14" spans="1:21" x14ac:dyDescent="0.3">
      <c r="A14" s="112" t="s">
        <v>271</v>
      </c>
      <c r="B14" s="17">
        <v>48.073288702392766</v>
      </c>
      <c r="C14" s="17">
        <v>45.214236971590708</v>
      </c>
      <c r="D14" s="17">
        <v>50.718209423726499</v>
      </c>
      <c r="E14" s="17">
        <v>49.084437032998743</v>
      </c>
      <c r="F14" s="17">
        <v>44.676513577967533</v>
      </c>
      <c r="G14" s="17">
        <v>35.650810245687403</v>
      </c>
      <c r="H14" s="17">
        <v>41.231641123882504</v>
      </c>
      <c r="I14" s="17">
        <v>37.953666275481382</v>
      </c>
      <c r="J14" s="17">
        <v>48.251548015319088</v>
      </c>
      <c r="K14" s="17">
        <v>50.203879019962415</v>
      </c>
      <c r="L14" s="17">
        <v>32.713616764801337</v>
      </c>
      <c r="M14" s="17">
        <v>36.5945641336859</v>
      </c>
      <c r="N14" s="17">
        <v>54.681959620811917</v>
      </c>
      <c r="O14" s="17">
        <v>54.017778092573579</v>
      </c>
      <c r="P14" s="17">
        <v>52.691260397627659</v>
      </c>
      <c r="Q14" s="17">
        <v>55.94408008284433</v>
      </c>
      <c r="R14" s="17">
        <v>50.661401776900291</v>
      </c>
      <c r="S14" s="17">
        <v>44.663291785425621</v>
      </c>
      <c r="T14" s="17">
        <v>41.764125686909964</v>
      </c>
      <c r="U14" s="17">
        <v>27.355214517755122</v>
      </c>
    </row>
    <row r="15" spans="1:21" x14ac:dyDescent="0.3">
      <c r="A15" s="112" t="s">
        <v>272</v>
      </c>
      <c r="B15" s="17">
        <v>30.965661936641148</v>
      </c>
      <c r="C15" s="17">
        <v>29.004633121430878</v>
      </c>
      <c r="D15" s="17">
        <v>32.346446484015154</v>
      </c>
      <c r="E15" s="17">
        <v>30.587178911586438</v>
      </c>
      <c r="F15" s="17">
        <v>28.599892299407642</v>
      </c>
      <c r="G15" s="17">
        <v>20.537245164662831</v>
      </c>
      <c r="H15" s="17">
        <v>25.319404533844185</v>
      </c>
      <c r="I15" s="17">
        <v>24.757117399052468</v>
      </c>
      <c r="J15" s="17">
        <v>30.48380400157486</v>
      </c>
      <c r="K15" s="17">
        <v>32.977484664751977</v>
      </c>
      <c r="L15" s="17">
        <v>22.54249153878251</v>
      </c>
      <c r="M15" s="17">
        <v>22.681217217911485</v>
      </c>
      <c r="N15" s="17">
        <v>31.722772993704318</v>
      </c>
      <c r="O15" s="17">
        <v>32.217020221694938</v>
      </c>
      <c r="P15" s="17">
        <v>32.32269014137043</v>
      </c>
      <c r="Q15" s="17">
        <v>33.460234725578189</v>
      </c>
      <c r="R15" s="17">
        <v>30.798696939782822</v>
      </c>
      <c r="S15" s="17">
        <v>27.663717190624077</v>
      </c>
      <c r="T15" s="17">
        <v>25.560236719740743</v>
      </c>
      <c r="U15" s="17">
        <v>14.612971883051415</v>
      </c>
    </row>
    <row r="16" spans="1:21" x14ac:dyDescent="0.3">
      <c r="A16" s="112" t="s">
        <v>273</v>
      </c>
      <c r="B16" s="17">
        <v>30.863160254972932</v>
      </c>
      <c r="C16" s="17">
        <v>28.92202708041518</v>
      </c>
      <c r="D16" s="17">
        <v>32.206557712647992</v>
      </c>
      <c r="E16" s="17">
        <v>30.471731392104672</v>
      </c>
      <c r="F16" s="17">
        <v>28.492191707054388</v>
      </c>
      <c r="G16" s="17">
        <v>20.441409653249696</v>
      </c>
      <c r="H16" s="17">
        <v>25.21962803320562</v>
      </c>
      <c r="I16" s="17">
        <v>24.665840831051419</v>
      </c>
      <c r="J16" s="17">
        <v>30.387164894949709</v>
      </c>
      <c r="K16" s="17">
        <v>32.881750168421796</v>
      </c>
      <c r="L16" s="17">
        <v>22.45440215123557</v>
      </c>
      <c r="M16" s="17">
        <v>22.598855607091767</v>
      </c>
      <c r="N16" s="17">
        <v>31.610608582386568</v>
      </c>
      <c r="O16" s="17">
        <v>32.096610829762376</v>
      </c>
      <c r="P16" s="17">
        <v>32.18840687828714</v>
      </c>
      <c r="Q16" s="17">
        <v>33.332516396272005</v>
      </c>
      <c r="R16" s="17">
        <v>30.668390918065153</v>
      </c>
      <c r="S16" s="17">
        <v>27.557365891011194</v>
      </c>
      <c r="T16" s="17">
        <v>25.461603494434264</v>
      </c>
      <c r="U16" s="17">
        <v>14.534558082222471</v>
      </c>
    </row>
    <row r="17" spans="1:21" x14ac:dyDescent="0.3">
      <c r="A17" s="112" t="s">
        <v>274</v>
      </c>
      <c r="B17" s="17">
        <v>30.863160254972932</v>
      </c>
      <c r="C17" s="17">
        <v>28.92202708041518</v>
      </c>
      <c r="D17" s="17">
        <v>32.206557712647992</v>
      </c>
      <c r="E17" s="17">
        <v>30.471731392104672</v>
      </c>
      <c r="F17" s="17">
        <v>28.492191707054388</v>
      </c>
      <c r="G17" s="17">
        <v>20.441409653249696</v>
      </c>
      <c r="H17" s="17">
        <v>25.21962803320562</v>
      </c>
      <c r="I17" s="17">
        <v>24.665840831051419</v>
      </c>
      <c r="J17" s="17">
        <v>30.387164894949709</v>
      </c>
      <c r="K17" s="17">
        <v>32.881750168421796</v>
      </c>
      <c r="L17" s="17">
        <v>22.45440215123557</v>
      </c>
      <c r="M17" s="17">
        <v>22.598855607091767</v>
      </c>
      <c r="N17" s="17">
        <v>31.610608582386568</v>
      </c>
      <c r="O17" s="17">
        <v>32.096610829762376</v>
      </c>
      <c r="P17" s="17">
        <v>32.18840687828714</v>
      </c>
      <c r="Q17" s="17">
        <v>33.332516396272005</v>
      </c>
      <c r="R17" s="17">
        <v>30.668390918065153</v>
      </c>
      <c r="S17" s="17">
        <v>27.557365891011194</v>
      </c>
      <c r="T17" s="17">
        <v>25.461603494434264</v>
      </c>
      <c r="U17" s="17">
        <v>14.534558082222471</v>
      </c>
    </row>
    <row r="18" spans="1:21" x14ac:dyDescent="0.3">
      <c r="A18" s="118"/>
      <c r="B18" s="16" t="s">
        <v>51</v>
      </c>
      <c r="C18" s="16" t="s">
        <v>51</v>
      </c>
      <c r="D18" s="16" t="s">
        <v>51</v>
      </c>
      <c r="E18" s="16" t="s">
        <v>51</v>
      </c>
      <c r="F18" s="16" t="s">
        <v>51</v>
      </c>
      <c r="G18" s="16" t="s">
        <v>51</v>
      </c>
      <c r="H18" s="16" t="s">
        <v>51</v>
      </c>
      <c r="I18" s="16" t="s">
        <v>51</v>
      </c>
      <c r="J18" s="16" t="s">
        <v>51</v>
      </c>
      <c r="K18" s="16" t="s">
        <v>51</v>
      </c>
      <c r="L18" s="16" t="s">
        <v>51</v>
      </c>
      <c r="M18" s="16" t="s">
        <v>51</v>
      </c>
      <c r="N18" s="16" t="s">
        <v>51</v>
      </c>
      <c r="O18" s="16" t="s">
        <v>51</v>
      </c>
      <c r="P18" s="16" t="s">
        <v>51</v>
      </c>
      <c r="Q18" s="16" t="s">
        <v>51</v>
      </c>
      <c r="R18" s="16" t="s">
        <v>51</v>
      </c>
      <c r="S18" s="16" t="s">
        <v>51</v>
      </c>
      <c r="T18" s="16" t="s">
        <v>51</v>
      </c>
      <c r="U18" s="16" t="s">
        <v>51</v>
      </c>
    </row>
    <row r="19" spans="1:21" x14ac:dyDescent="0.3">
      <c r="A19" s="118" t="s">
        <v>275</v>
      </c>
      <c r="B19" s="16" t="s">
        <v>51</v>
      </c>
      <c r="C19" s="16" t="s">
        <v>51</v>
      </c>
      <c r="D19" s="16" t="s">
        <v>51</v>
      </c>
      <c r="E19" s="16" t="s">
        <v>51</v>
      </c>
      <c r="F19" s="16" t="s">
        <v>51</v>
      </c>
      <c r="G19" s="16" t="s">
        <v>51</v>
      </c>
      <c r="H19" s="16" t="s">
        <v>51</v>
      </c>
      <c r="I19" s="16" t="s">
        <v>51</v>
      </c>
      <c r="J19" s="16" t="s">
        <v>51</v>
      </c>
      <c r="K19" s="16" t="s">
        <v>51</v>
      </c>
      <c r="L19" s="16" t="s">
        <v>51</v>
      </c>
      <c r="M19" s="16" t="s">
        <v>51</v>
      </c>
      <c r="N19" s="16" t="s">
        <v>51</v>
      </c>
      <c r="O19" s="16" t="s">
        <v>51</v>
      </c>
      <c r="P19" s="16" t="s">
        <v>51</v>
      </c>
      <c r="Q19" s="16" t="s">
        <v>51</v>
      </c>
      <c r="R19" s="16" t="s">
        <v>51</v>
      </c>
      <c r="S19" s="16" t="s">
        <v>51</v>
      </c>
      <c r="T19" s="16" t="s">
        <v>51</v>
      </c>
      <c r="U19" s="16" t="s">
        <v>51</v>
      </c>
    </row>
    <row r="20" spans="1:21" x14ac:dyDescent="0.3">
      <c r="A20" s="112" t="s">
        <v>276</v>
      </c>
      <c r="B20" s="17">
        <v>35.813099680170573</v>
      </c>
      <c r="C20" s="17">
        <v>35.715624751767415</v>
      </c>
      <c r="D20" s="17">
        <v>36.256844937773295</v>
      </c>
      <c r="E20" s="17">
        <v>37.815235855220173</v>
      </c>
      <c r="F20" s="17">
        <v>36.561343090830825</v>
      </c>
      <c r="G20" s="17">
        <v>43.383064516129039</v>
      </c>
      <c r="H20" s="17">
        <v>38.582615429290485</v>
      </c>
      <c r="I20" s="17">
        <v>34.334974805313784</v>
      </c>
      <c r="J20" s="17">
        <v>36.348416289592762</v>
      </c>
      <c r="K20" s="17">
        <v>34.030369376368384</v>
      </c>
      <c r="L20" s="17">
        <v>31.077239229024944</v>
      </c>
      <c r="M20" s="17">
        <v>37.913646055437098</v>
      </c>
      <c r="N20" s="17">
        <v>42.066168199563293</v>
      </c>
      <c r="O20" s="17">
        <v>40.312594243755328</v>
      </c>
      <c r="P20" s="17">
        <v>38.748477983859551</v>
      </c>
      <c r="Q20" s="17">
        <v>40.504535077435676</v>
      </c>
      <c r="R20" s="17">
        <v>39.822525331254873</v>
      </c>
      <c r="S20" s="17">
        <v>38.575959615201441</v>
      </c>
      <c r="T20" s="17">
        <v>39.147210976158341</v>
      </c>
      <c r="U20" s="17">
        <v>45.945945945945951</v>
      </c>
    </row>
    <row r="21" spans="1:21" x14ac:dyDescent="0.3">
      <c r="A21" s="112" t="s">
        <v>277</v>
      </c>
      <c r="B21" s="17">
        <v>57.575527987570538</v>
      </c>
      <c r="C21" s="17">
        <v>68.472175999284715</v>
      </c>
      <c r="D21" s="17">
        <v>82.939417887963458</v>
      </c>
      <c r="E21" s="17">
        <v>98.240370448326672</v>
      </c>
      <c r="F21" s="17">
        <v>83.494883494883496</v>
      </c>
      <c r="G21" s="17">
        <v>164.75121096721813</v>
      </c>
      <c r="H21" s="17">
        <v>122.3447269596758</v>
      </c>
      <c r="I21" s="17">
        <v>136.23219562738879</v>
      </c>
      <c r="J21" s="17">
        <v>91.061465016543252</v>
      </c>
      <c r="K21" s="17">
        <v>41.677270198109909</v>
      </c>
      <c r="L21" s="17">
        <v>119.71448570054034</v>
      </c>
      <c r="M21" s="17">
        <v>185.3709625134031</v>
      </c>
      <c r="N21" s="17">
        <v>88.490409246681182</v>
      </c>
      <c r="O21" s="17">
        <v>85.30175039059398</v>
      </c>
      <c r="P21" s="17">
        <v>80.631423542104372</v>
      </c>
      <c r="Q21" s="17">
        <v>56.035201415015692</v>
      </c>
      <c r="R21" s="17">
        <v>59.715943693453013</v>
      </c>
      <c r="S21" s="17">
        <v>59.664305308347899</v>
      </c>
      <c r="T21" s="17">
        <v>57.037131320062784</v>
      </c>
      <c r="U21" s="17">
        <v>59.576107899807319</v>
      </c>
    </row>
    <row r="22" spans="1:21" x14ac:dyDescent="0.3">
      <c r="A22" s="112" t="s">
        <v>278</v>
      </c>
      <c r="B22" s="17">
        <v>18.164591863337034</v>
      </c>
      <c r="C22" s="17">
        <v>13.075745763448511</v>
      </c>
      <c r="D22" s="17">
        <v>6.3553324838107441</v>
      </c>
      <c r="E22" s="17">
        <v>0.59944541638712601</v>
      </c>
      <c r="F22" s="17">
        <v>5.0767110867707661</v>
      </c>
      <c r="G22" s="17">
        <v>-21.031665142255971</v>
      </c>
      <c r="H22" s="17">
        <v>-8.6851955573176713</v>
      </c>
      <c r="I22" s="17">
        <v>-13.199157287911097</v>
      </c>
      <c r="J22" s="17">
        <v>3.0538861121343066</v>
      </c>
      <c r="K22" s="17">
        <v>20.167390202061284</v>
      </c>
      <c r="L22" s="17">
        <v>-7.0124149230236945</v>
      </c>
      <c r="M22" s="17">
        <v>-34.755774467372881</v>
      </c>
      <c r="N22" s="17">
        <v>5.2956063055384011</v>
      </c>
      <c r="O22" s="17">
        <v>6.7144460880904804</v>
      </c>
      <c r="P22" s="17">
        <v>8.3368989687675139</v>
      </c>
      <c r="Q22" s="17">
        <v>17.492936823131991</v>
      </c>
      <c r="R22" s="17">
        <v>12.593677474159151</v>
      </c>
      <c r="S22" s="17">
        <v>9.5655066357459919</v>
      </c>
      <c r="T22" s="17">
        <v>8.2079892446589398</v>
      </c>
      <c r="U22" s="17">
        <v>6.9724939462881563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A080-B2C5-4667-9E97-B34906B7D32A}">
  <sheetPr>
    <tabColor theme="3" tint="0.749992370372631"/>
  </sheetPr>
  <dimension ref="A2:O51"/>
  <sheetViews>
    <sheetView showGridLines="0" workbookViewId="0">
      <selection activeCell="O3" sqref="O3"/>
    </sheetView>
  </sheetViews>
  <sheetFormatPr baseColWidth="10" defaultRowHeight="14.4" x14ac:dyDescent="0.3"/>
  <cols>
    <col min="10" max="10" width="3.6640625" customWidth="1"/>
    <col min="11" max="11" width="34.88671875" customWidth="1"/>
    <col min="12" max="12" width="11.6640625" customWidth="1"/>
    <col min="13" max="13" width="1.5546875" customWidth="1"/>
    <col min="14" max="14" width="34.6640625" customWidth="1"/>
    <col min="15" max="15" width="12.6640625" bestFit="1" customWidth="1"/>
  </cols>
  <sheetData>
    <row r="2" spans="1:15" x14ac:dyDescent="0.3">
      <c r="A2" s="131" t="s">
        <v>279</v>
      </c>
      <c r="B2" s="131"/>
      <c r="C2" s="132" t="s">
        <v>280</v>
      </c>
      <c r="D2" s="132"/>
      <c r="E2" s="132"/>
      <c r="F2" s="133" t="s">
        <v>281</v>
      </c>
      <c r="G2" s="133"/>
      <c r="H2" s="134" t="s">
        <v>51</v>
      </c>
      <c r="I2" s="134"/>
      <c r="K2" s="45" t="s">
        <v>341</v>
      </c>
      <c r="L2" s="58" t="s">
        <v>342</v>
      </c>
      <c r="M2" s="30"/>
      <c r="N2" s="45" t="s">
        <v>343</v>
      </c>
      <c r="O2" s="32" t="s">
        <v>342</v>
      </c>
    </row>
    <row r="3" spans="1:15" x14ac:dyDescent="0.3">
      <c r="A3" s="131" t="s">
        <v>282</v>
      </c>
      <c r="B3" s="131"/>
      <c r="C3" s="132" t="s">
        <v>283</v>
      </c>
      <c r="D3" s="132"/>
      <c r="E3" s="132"/>
      <c r="F3" s="31" t="s">
        <v>284</v>
      </c>
      <c r="G3" s="31"/>
      <c r="H3" s="134">
        <v>16133</v>
      </c>
      <c r="I3" s="134"/>
      <c r="K3" s="59" t="s">
        <v>344</v>
      </c>
      <c r="L3" s="60">
        <v>6317</v>
      </c>
      <c r="M3" s="30"/>
      <c r="N3" s="25" t="s">
        <v>345</v>
      </c>
      <c r="O3" s="61">
        <v>6023.6</v>
      </c>
    </row>
    <row r="4" spans="1:15" x14ac:dyDescent="0.3">
      <c r="A4" s="131" t="s">
        <v>285</v>
      </c>
      <c r="B4" s="131"/>
      <c r="C4" s="132" t="s">
        <v>286</v>
      </c>
      <c r="D4" s="132"/>
      <c r="E4" s="132"/>
      <c r="F4" s="132"/>
      <c r="G4" s="132"/>
      <c r="H4" s="132"/>
      <c r="I4" s="132"/>
      <c r="K4" s="59" t="s">
        <v>346</v>
      </c>
      <c r="L4" s="60">
        <v>4604.6000000000004</v>
      </c>
      <c r="M4" s="30"/>
      <c r="N4" s="25" t="s">
        <v>347</v>
      </c>
      <c r="O4" s="61">
        <v>3085.1</v>
      </c>
    </row>
    <row r="5" spans="1:15" x14ac:dyDescent="0.3">
      <c r="A5" s="130" t="s">
        <v>287</v>
      </c>
      <c r="B5" s="130"/>
      <c r="C5" s="130"/>
      <c r="D5" s="130"/>
      <c r="E5" s="130"/>
      <c r="F5" s="130"/>
      <c r="G5" s="130"/>
      <c r="H5" s="130"/>
      <c r="I5" s="130"/>
      <c r="K5" s="59" t="s">
        <v>348</v>
      </c>
      <c r="L5" s="60">
        <v>704</v>
      </c>
      <c r="M5" s="30"/>
      <c r="N5" s="25" t="s">
        <v>349</v>
      </c>
      <c r="O5" s="61">
        <v>2324.6999999999998</v>
      </c>
    </row>
    <row r="6" spans="1:15" x14ac:dyDescent="0.3">
      <c r="A6" s="128" t="s">
        <v>288</v>
      </c>
      <c r="B6" s="128"/>
      <c r="C6" s="128"/>
      <c r="D6" s="129">
        <v>97.050003051757813</v>
      </c>
      <c r="E6" s="129"/>
      <c r="F6" s="123" t="s">
        <v>289</v>
      </c>
      <c r="G6" s="123"/>
      <c r="H6" s="123"/>
      <c r="I6" s="33">
        <v>5.4891337519106465E-2</v>
      </c>
      <c r="K6" s="59" t="s">
        <v>350</v>
      </c>
      <c r="L6" s="60">
        <v>0.2</v>
      </c>
      <c r="M6" s="30"/>
      <c r="N6" s="25" t="s">
        <v>51</v>
      </c>
      <c r="O6" s="62" t="s">
        <v>51</v>
      </c>
    </row>
    <row r="7" spans="1:15" x14ac:dyDescent="0.3">
      <c r="A7" s="128" t="s">
        <v>290</v>
      </c>
      <c r="B7" s="128"/>
      <c r="C7" s="128"/>
      <c r="D7" s="129">
        <v>118.20285261287282</v>
      </c>
      <c r="E7" s="129"/>
      <c r="F7" s="123" t="s">
        <v>291</v>
      </c>
      <c r="G7" s="123"/>
      <c r="H7" s="123"/>
      <c r="I7" s="33">
        <v>-1.244819894581195E-2</v>
      </c>
      <c r="K7" s="59" t="s">
        <v>351</v>
      </c>
      <c r="L7" s="60">
        <v>-192.4</v>
      </c>
      <c r="M7" s="30"/>
      <c r="N7" s="25" t="s">
        <v>51</v>
      </c>
      <c r="O7" s="62" t="s">
        <v>51</v>
      </c>
    </row>
    <row r="8" spans="1:15" x14ac:dyDescent="0.3">
      <c r="A8" s="128" t="s">
        <v>292</v>
      </c>
      <c r="B8" s="128"/>
      <c r="C8" s="128"/>
      <c r="D8" s="129">
        <v>75.254975740172299</v>
      </c>
      <c r="E8" s="129"/>
      <c r="F8" s="123" t="s">
        <v>293</v>
      </c>
      <c r="G8" s="123"/>
      <c r="H8" s="123"/>
      <c r="I8" s="33">
        <v>-4.9288806523330786E-2</v>
      </c>
      <c r="K8" s="28" t="s">
        <v>51</v>
      </c>
      <c r="L8" s="29" t="s">
        <v>51</v>
      </c>
      <c r="M8" s="30"/>
      <c r="N8" s="28" t="s">
        <v>51</v>
      </c>
      <c r="O8" s="29" t="s">
        <v>51</v>
      </c>
    </row>
    <row r="9" spans="1:15" x14ac:dyDescent="0.3">
      <c r="A9" s="128" t="s">
        <v>294</v>
      </c>
      <c r="B9" s="128"/>
      <c r="C9" s="128"/>
      <c r="D9" s="129" t="s">
        <v>295</v>
      </c>
      <c r="E9" s="129"/>
      <c r="F9" s="123" t="s">
        <v>296</v>
      </c>
      <c r="G9" s="123"/>
      <c r="H9" s="123"/>
      <c r="I9" s="33">
        <v>8.5986000075839897E-2</v>
      </c>
      <c r="K9" s="28" t="s">
        <v>51</v>
      </c>
      <c r="L9" s="29" t="s">
        <v>51</v>
      </c>
      <c r="M9" s="30"/>
      <c r="N9" s="28" t="s">
        <v>51</v>
      </c>
      <c r="O9" s="29" t="s">
        <v>51</v>
      </c>
    </row>
    <row r="10" spans="1:15" x14ac:dyDescent="0.3">
      <c r="A10" s="34"/>
      <c r="B10" s="34"/>
      <c r="C10" s="35"/>
      <c r="D10" s="35"/>
      <c r="E10" s="34"/>
      <c r="F10" s="34"/>
      <c r="G10" s="36"/>
      <c r="H10" s="36"/>
      <c r="I10" s="37"/>
    </row>
    <row r="11" spans="1:15" x14ac:dyDescent="0.3">
      <c r="A11" s="130" t="s">
        <v>297</v>
      </c>
      <c r="B11" s="130"/>
      <c r="C11" s="130"/>
      <c r="D11" s="130"/>
      <c r="E11" s="130"/>
      <c r="F11" s="130"/>
      <c r="G11" s="130"/>
      <c r="H11" s="130"/>
      <c r="I11" s="130"/>
    </row>
    <row r="12" spans="1:15" x14ac:dyDescent="0.3">
      <c r="A12" s="122" t="s">
        <v>298</v>
      </c>
      <c r="B12" s="122"/>
      <c r="C12" s="31" t="s">
        <v>299</v>
      </c>
      <c r="D12" s="123" t="s">
        <v>300</v>
      </c>
      <c r="E12" s="123"/>
      <c r="F12" s="124" t="s">
        <v>301</v>
      </c>
      <c r="G12" s="124"/>
      <c r="H12" s="31" t="s">
        <v>302</v>
      </c>
      <c r="I12" s="38" t="s">
        <v>303</v>
      </c>
    </row>
    <row r="13" spans="1:15" x14ac:dyDescent="0.3">
      <c r="A13" s="122" t="s">
        <v>304</v>
      </c>
      <c r="B13" s="122"/>
      <c r="C13" s="31" t="s">
        <v>305</v>
      </c>
      <c r="D13" s="123" t="s">
        <v>300</v>
      </c>
      <c r="E13" s="123"/>
      <c r="F13" s="124" t="s">
        <v>306</v>
      </c>
      <c r="G13" s="124"/>
      <c r="H13" s="31" t="s">
        <v>302</v>
      </c>
      <c r="I13" s="38" t="s">
        <v>307</v>
      </c>
    </row>
    <row r="14" spans="1:15" x14ac:dyDescent="0.3">
      <c r="A14" s="122" t="s">
        <v>308</v>
      </c>
      <c r="B14" s="122"/>
      <c r="C14" s="31" t="s">
        <v>299</v>
      </c>
      <c r="D14" s="123" t="s">
        <v>300</v>
      </c>
      <c r="E14" s="123"/>
      <c r="F14" s="124" t="s">
        <v>309</v>
      </c>
      <c r="G14" s="124"/>
      <c r="H14" s="31" t="s">
        <v>302</v>
      </c>
      <c r="I14" s="38" t="s">
        <v>303</v>
      </c>
    </row>
    <row r="15" spans="1:15" x14ac:dyDescent="0.3">
      <c r="A15" s="39"/>
      <c r="B15" s="39"/>
      <c r="C15" s="39"/>
      <c r="D15" s="40"/>
      <c r="E15" s="41"/>
      <c r="F15" s="42"/>
      <c r="G15" s="42"/>
      <c r="H15" s="39"/>
      <c r="I15" s="43"/>
    </row>
    <row r="16" spans="1:15" x14ac:dyDescent="0.3">
      <c r="A16" s="125" t="s">
        <v>310</v>
      </c>
      <c r="B16" s="125"/>
      <c r="C16" s="126"/>
      <c r="D16" s="126"/>
      <c r="E16" s="44" t="s">
        <v>311</v>
      </c>
      <c r="F16" s="45"/>
      <c r="G16" s="45"/>
      <c r="H16" s="45"/>
      <c r="I16" s="44" t="s">
        <v>312</v>
      </c>
    </row>
    <row r="17" spans="1:9" x14ac:dyDescent="0.3">
      <c r="A17" s="46" t="s">
        <v>313</v>
      </c>
      <c r="B17" s="46"/>
      <c r="C17" s="47" t="s">
        <v>51</v>
      </c>
      <c r="D17" s="47" t="s">
        <v>51</v>
      </c>
      <c r="E17" s="47" t="s">
        <v>51</v>
      </c>
      <c r="F17" s="47" t="s">
        <v>51</v>
      </c>
      <c r="G17" s="47" t="s">
        <v>51</v>
      </c>
      <c r="H17" s="47" t="s">
        <v>51</v>
      </c>
      <c r="I17" s="47" t="s">
        <v>51</v>
      </c>
    </row>
    <row r="18" spans="1:9" x14ac:dyDescent="0.3">
      <c r="A18" s="46" t="s">
        <v>314</v>
      </c>
      <c r="B18" s="46"/>
      <c r="C18" s="47" t="s">
        <v>315</v>
      </c>
      <c r="D18" s="47" t="s">
        <v>315</v>
      </c>
      <c r="E18" s="47" t="s">
        <v>315</v>
      </c>
      <c r="F18" s="47" t="s">
        <v>315</v>
      </c>
      <c r="G18" s="47" t="s">
        <v>315</v>
      </c>
      <c r="H18" s="47" t="s">
        <v>315</v>
      </c>
      <c r="I18" s="47" t="s">
        <v>315</v>
      </c>
    </row>
    <row r="19" spans="1:9" x14ac:dyDescent="0.3">
      <c r="A19" s="48" t="s">
        <v>316</v>
      </c>
      <c r="B19" s="49"/>
      <c r="C19" s="50">
        <v>-3</v>
      </c>
      <c r="D19" s="50">
        <v>-2</v>
      </c>
      <c r="E19" s="50">
        <v>-1</v>
      </c>
      <c r="F19" s="50">
        <v>0</v>
      </c>
      <c r="G19" s="50">
        <v>1</v>
      </c>
      <c r="H19" s="50">
        <v>2</v>
      </c>
      <c r="I19" s="50">
        <v>3</v>
      </c>
    </row>
    <row r="20" spans="1:9" x14ac:dyDescent="0.3">
      <c r="A20" s="127"/>
      <c r="B20" s="127"/>
      <c r="C20" s="51" t="s">
        <v>51</v>
      </c>
      <c r="D20" s="51" t="s">
        <v>51</v>
      </c>
      <c r="E20" s="51" t="s">
        <v>51</v>
      </c>
      <c r="F20" s="51" t="s">
        <v>51</v>
      </c>
      <c r="G20" s="51" t="s">
        <v>51</v>
      </c>
      <c r="H20" s="51" t="s">
        <v>51</v>
      </c>
      <c r="I20" s="51" t="s">
        <v>51</v>
      </c>
    </row>
    <row r="21" spans="1:9" x14ac:dyDescent="0.3">
      <c r="A21" s="120" t="s">
        <v>317</v>
      </c>
      <c r="B21" s="120"/>
      <c r="C21" s="52" t="s">
        <v>51</v>
      </c>
      <c r="D21" s="52" t="s">
        <v>51</v>
      </c>
      <c r="E21" s="52" t="s">
        <v>51</v>
      </c>
      <c r="F21" s="52" t="s">
        <v>51</v>
      </c>
      <c r="G21" s="52" t="s">
        <v>51</v>
      </c>
      <c r="H21" s="52" t="s">
        <v>51</v>
      </c>
      <c r="I21" s="52" t="s">
        <v>51</v>
      </c>
    </row>
    <row r="22" spans="1:9" x14ac:dyDescent="0.3">
      <c r="A22" s="120" t="s">
        <v>318</v>
      </c>
      <c r="B22" s="120"/>
      <c r="C22" s="52"/>
      <c r="D22" s="52"/>
      <c r="E22" s="52"/>
      <c r="F22" s="52"/>
      <c r="G22" s="52"/>
      <c r="H22" s="52"/>
      <c r="I22" s="52"/>
    </row>
    <row r="23" spans="1:9" x14ac:dyDescent="0.3">
      <c r="A23" s="120" t="s">
        <v>319</v>
      </c>
      <c r="B23" s="120"/>
      <c r="C23" s="52"/>
      <c r="D23" s="52"/>
      <c r="E23" s="52"/>
      <c r="F23" s="52"/>
      <c r="G23" s="52"/>
      <c r="H23" s="52"/>
      <c r="I23" s="52"/>
    </row>
    <row r="24" spans="1:9" x14ac:dyDescent="0.3">
      <c r="A24" s="120" t="s">
        <v>320</v>
      </c>
      <c r="B24" s="120"/>
      <c r="C24" s="52" t="s">
        <v>51</v>
      </c>
      <c r="D24" s="52" t="s">
        <v>51</v>
      </c>
      <c r="E24" s="52" t="s">
        <v>51</v>
      </c>
      <c r="F24" s="52" t="s">
        <v>51</v>
      </c>
      <c r="G24" s="52" t="s">
        <v>51</v>
      </c>
      <c r="H24" s="52" t="s">
        <v>51</v>
      </c>
      <c r="I24" s="52" t="s">
        <v>51</v>
      </c>
    </row>
    <row r="25" spans="1:9" x14ac:dyDescent="0.3">
      <c r="A25" s="120" t="s">
        <v>321</v>
      </c>
      <c r="B25" s="120"/>
      <c r="C25" s="52" t="s">
        <v>51</v>
      </c>
      <c r="D25" s="52" t="s">
        <v>51</v>
      </c>
      <c r="E25" s="52" t="s">
        <v>51</v>
      </c>
      <c r="F25" s="52" t="s">
        <v>51</v>
      </c>
      <c r="G25" s="52" t="s">
        <v>51</v>
      </c>
      <c r="H25" s="52" t="s">
        <v>51</v>
      </c>
      <c r="I25" s="52" t="s">
        <v>51</v>
      </c>
    </row>
    <row r="26" spans="1:9" x14ac:dyDescent="0.3">
      <c r="A26" s="120" t="s">
        <v>322</v>
      </c>
      <c r="B26" s="120"/>
      <c r="C26" s="33" t="s">
        <v>51</v>
      </c>
      <c r="D26" s="33" t="s">
        <v>51</v>
      </c>
      <c r="E26" s="33" t="s">
        <v>51</v>
      </c>
      <c r="F26" s="33" t="s">
        <v>51</v>
      </c>
      <c r="G26" s="33" t="s">
        <v>51</v>
      </c>
      <c r="H26" s="33" t="s">
        <v>51</v>
      </c>
      <c r="I26" s="33" t="s">
        <v>51</v>
      </c>
    </row>
    <row r="27" spans="1:9" x14ac:dyDescent="0.3">
      <c r="A27" s="39"/>
      <c r="B27" s="42"/>
      <c r="C27" s="53"/>
      <c r="D27" s="42"/>
      <c r="E27" s="42"/>
      <c r="F27" s="53"/>
      <c r="G27" s="53"/>
      <c r="H27" s="53"/>
      <c r="I27" s="53"/>
    </row>
    <row r="28" spans="1:9" x14ac:dyDescent="0.3">
      <c r="A28" s="121" t="s">
        <v>323</v>
      </c>
      <c r="B28" s="121"/>
      <c r="C28" s="121"/>
      <c r="D28" s="121"/>
      <c r="E28" s="121"/>
      <c r="F28" s="121"/>
      <c r="G28" s="121"/>
      <c r="H28" s="121"/>
      <c r="I28" s="121"/>
    </row>
    <row r="29" spans="1:9" x14ac:dyDescent="0.3">
      <c r="A29" s="120" t="s">
        <v>93</v>
      </c>
      <c r="B29" s="120"/>
      <c r="C29" s="54" t="s">
        <v>51</v>
      </c>
      <c r="D29" s="54" t="s">
        <v>51</v>
      </c>
      <c r="E29" s="54" t="s">
        <v>51</v>
      </c>
      <c r="F29" s="54" t="s">
        <v>51</v>
      </c>
      <c r="G29" s="54" t="s">
        <v>51</v>
      </c>
      <c r="H29" s="54" t="s">
        <v>51</v>
      </c>
      <c r="I29" s="54" t="s">
        <v>51</v>
      </c>
    </row>
    <row r="30" spans="1:9" x14ac:dyDescent="0.3">
      <c r="A30" s="120" t="s">
        <v>324</v>
      </c>
      <c r="B30" s="120"/>
      <c r="C30" s="54" t="s">
        <v>51</v>
      </c>
      <c r="D30" s="54" t="s">
        <v>51</v>
      </c>
      <c r="E30" s="54" t="s">
        <v>51</v>
      </c>
      <c r="F30" s="54" t="s">
        <v>51</v>
      </c>
      <c r="G30" s="54" t="s">
        <v>51</v>
      </c>
      <c r="H30" s="54" t="s">
        <v>51</v>
      </c>
      <c r="I30" s="54" t="s">
        <v>51</v>
      </c>
    </row>
    <row r="31" spans="1:9" x14ac:dyDescent="0.3">
      <c r="A31" s="120" t="s">
        <v>94</v>
      </c>
      <c r="B31" s="120"/>
      <c r="C31" s="54" t="s">
        <v>51</v>
      </c>
      <c r="D31" s="54" t="s">
        <v>51</v>
      </c>
      <c r="E31" s="54" t="s">
        <v>51</v>
      </c>
      <c r="F31" s="54" t="s">
        <v>51</v>
      </c>
      <c r="G31" s="54" t="s">
        <v>51</v>
      </c>
      <c r="H31" s="54" t="s">
        <v>51</v>
      </c>
      <c r="I31" s="54" t="s">
        <v>51</v>
      </c>
    </row>
    <row r="32" spans="1:9" x14ac:dyDescent="0.3">
      <c r="A32" s="120" t="s">
        <v>95</v>
      </c>
      <c r="B32" s="120"/>
      <c r="C32" s="54" t="s">
        <v>51</v>
      </c>
      <c r="D32" s="54" t="s">
        <v>51</v>
      </c>
      <c r="E32" s="54" t="s">
        <v>51</v>
      </c>
      <c r="F32" s="54" t="s">
        <v>51</v>
      </c>
      <c r="G32" s="54" t="s">
        <v>51</v>
      </c>
      <c r="H32" s="54" t="s">
        <v>51</v>
      </c>
      <c r="I32" s="54" t="s">
        <v>51</v>
      </c>
    </row>
    <row r="33" spans="1:9" x14ac:dyDescent="0.3">
      <c r="A33" s="120" t="s">
        <v>325</v>
      </c>
      <c r="B33" s="120"/>
      <c r="C33" s="54" t="s">
        <v>51</v>
      </c>
      <c r="D33" s="54" t="s">
        <v>51</v>
      </c>
      <c r="E33" s="54" t="s">
        <v>51</v>
      </c>
      <c r="F33" s="54" t="s">
        <v>51</v>
      </c>
      <c r="G33" s="54" t="s">
        <v>51</v>
      </c>
      <c r="H33" s="54" t="s">
        <v>51</v>
      </c>
      <c r="I33" s="54" t="s">
        <v>51</v>
      </c>
    </row>
    <row r="34" spans="1:9" x14ac:dyDescent="0.3">
      <c r="A34" s="120" t="s">
        <v>326</v>
      </c>
      <c r="B34" s="120"/>
      <c r="C34" s="54" t="s">
        <v>51</v>
      </c>
      <c r="D34" s="54" t="s">
        <v>51</v>
      </c>
      <c r="E34" s="54" t="s">
        <v>51</v>
      </c>
      <c r="F34" s="54" t="s">
        <v>51</v>
      </c>
      <c r="G34" s="54" t="s">
        <v>51</v>
      </c>
      <c r="H34" s="54" t="s">
        <v>51</v>
      </c>
      <c r="I34" s="54" t="s">
        <v>51</v>
      </c>
    </row>
    <row r="35" spans="1:9" x14ac:dyDescent="0.3">
      <c r="A35" s="39"/>
      <c r="B35" s="42"/>
      <c r="C35" s="42"/>
      <c r="D35" s="42"/>
      <c r="E35" s="42"/>
      <c r="F35" s="42"/>
      <c r="G35" s="42"/>
      <c r="H35" s="42"/>
      <c r="I35" s="42"/>
    </row>
    <row r="36" spans="1:9" x14ac:dyDescent="0.3">
      <c r="A36" s="121" t="s">
        <v>327</v>
      </c>
      <c r="B36" s="121"/>
      <c r="C36" s="121"/>
      <c r="D36" s="121"/>
      <c r="E36" s="121"/>
      <c r="F36" s="121"/>
      <c r="G36" s="121"/>
      <c r="H36" s="121"/>
      <c r="I36" s="121"/>
    </row>
    <row r="37" spans="1:9" x14ac:dyDescent="0.3">
      <c r="A37" s="120" t="s">
        <v>180</v>
      </c>
      <c r="B37" s="120"/>
      <c r="C37" s="54" t="s">
        <v>51</v>
      </c>
      <c r="D37" s="54" t="s">
        <v>51</v>
      </c>
      <c r="E37" s="54" t="s">
        <v>51</v>
      </c>
      <c r="F37" s="54" t="s">
        <v>51</v>
      </c>
      <c r="G37" s="28"/>
      <c r="H37" s="55"/>
      <c r="I37" s="55"/>
    </row>
    <row r="38" spans="1:9" x14ac:dyDescent="0.3">
      <c r="A38" s="120" t="s">
        <v>328</v>
      </c>
      <c r="B38" s="120"/>
      <c r="C38" s="54" t="s">
        <v>51</v>
      </c>
      <c r="D38" s="54" t="s">
        <v>51</v>
      </c>
      <c r="E38" s="54" t="s">
        <v>51</v>
      </c>
      <c r="F38" s="54" t="s">
        <v>51</v>
      </c>
      <c r="G38" s="28"/>
      <c r="H38" s="55"/>
      <c r="I38" s="55"/>
    </row>
    <row r="39" spans="1:9" x14ac:dyDescent="0.3">
      <c r="A39" s="120" t="s">
        <v>329</v>
      </c>
      <c r="B39" s="120"/>
      <c r="C39" s="54" t="s">
        <v>51</v>
      </c>
      <c r="D39" s="54" t="s">
        <v>51</v>
      </c>
      <c r="E39" s="54" t="s">
        <v>51</v>
      </c>
      <c r="F39" s="54" t="s">
        <v>51</v>
      </c>
      <c r="G39" s="28"/>
      <c r="H39" s="55"/>
      <c r="I39" s="55"/>
    </row>
    <row r="40" spans="1:9" x14ac:dyDescent="0.3">
      <c r="A40" s="120" t="s">
        <v>330</v>
      </c>
      <c r="B40" s="120"/>
      <c r="C40" s="54" t="s">
        <v>51</v>
      </c>
      <c r="D40" s="54" t="s">
        <v>51</v>
      </c>
      <c r="E40" s="54" t="s">
        <v>51</v>
      </c>
      <c r="F40" s="54" t="s">
        <v>51</v>
      </c>
      <c r="G40" s="28"/>
      <c r="H40" s="55"/>
      <c r="I40" s="55"/>
    </row>
    <row r="41" spans="1:9" x14ac:dyDescent="0.3">
      <c r="A41" s="120" t="s">
        <v>331</v>
      </c>
      <c r="B41" s="120"/>
      <c r="C41" s="54" t="s">
        <v>51</v>
      </c>
      <c r="D41" s="54" t="s">
        <v>51</v>
      </c>
      <c r="E41" s="54" t="s">
        <v>51</v>
      </c>
      <c r="F41" s="54" t="s">
        <v>51</v>
      </c>
      <c r="G41" s="28"/>
      <c r="H41" s="55"/>
      <c r="I41" s="55"/>
    </row>
    <row r="42" spans="1:9" x14ac:dyDescent="0.3">
      <c r="A42" s="120" t="s">
        <v>332</v>
      </c>
      <c r="B42" s="120"/>
      <c r="C42" s="54" t="s">
        <v>51</v>
      </c>
      <c r="D42" s="54" t="s">
        <v>51</v>
      </c>
      <c r="E42" s="54" t="s">
        <v>51</v>
      </c>
      <c r="F42" s="54" t="s">
        <v>51</v>
      </c>
      <c r="G42" s="28"/>
      <c r="H42" s="55"/>
      <c r="I42" s="55"/>
    </row>
    <row r="44" spans="1:9" x14ac:dyDescent="0.3">
      <c r="A44" s="45" t="s">
        <v>333</v>
      </c>
      <c r="B44" s="45"/>
      <c r="C44" s="45"/>
      <c r="D44" s="45"/>
      <c r="E44" s="45"/>
      <c r="F44" s="45"/>
      <c r="G44" s="45"/>
    </row>
    <row r="45" spans="1:9" x14ac:dyDescent="0.3">
      <c r="A45" s="41" t="s">
        <v>334</v>
      </c>
      <c r="B45" s="41"/>
      <c r="C45" s="56" t="s">
        <v>51</v>
      </c>
      <c r="D45" s="56"/>
      <c r="E45" s="56"/>
      <c r="F45" s="56"/>
      <c r="G45" s="56"/>
    </row>
    <row r="46" spans="1:9" x14ac:dyDescent="0.3">
      <c r="A46" s="41" t="s">
        <v>335</v>
      </c>
      <c r="B46" s="41"/>
      <c r="C46" s="57">
        <v>78034.835572825337</v>
      </c>
      <c r="D46" s="56"/>
      <c r="E46" s="56"/>
      <c r="F46" s="56"/>
      <c r="G46" s="56"/>
    </row>
    <row r="47" spans="1:9" x14ac:dyDescent="0.3">
      <c r="A47" s="41" t="s">
        <v>336</v>
      </c>
      <c r="B47" s="41"/>
      <c r="C47" s="56" t="s">
        <v>51</v>
      </c>
      <c r="D47" s="56"/>
      <c r="E47" s="56"/>
      <c r="F47" s="56"/>
      <c r="G47" s="56"/>
    </row>
    <row r="48" spans="1:9" x14ac:dyDescent="0.3">
      <c r="A48" s="41" t="s">
        <v>337</v>
      </c>
      <c r="B48" s="41"/>
      <c r="C48" s="56" t="s">
        <v>51</v>
      </c>
      <c r="D48" s="56"/>
      <c r="E48" s="56"/>
      <c r="F48" s="56"/>
      <c r="G48" s="56"/>
    </row>
    <row r="49" spans="1:7" x14ac:dyDescent="0.3">
      <c r="A49" s="41" t="s">
        <v>338</v>
      </c>
      <c r="B49" s="41"/>
      <c r="C49" s="56" t="s">
        <v>51</v>
      </c>
      <c r="D49" s="56"/>
      <c r="E49" s="56"/>
      <c r="F49" s="56"/>
      <c r="G49" s="56"/>
    </row>
    <row r="50" spans="1:7" x14ac:dyDescent="0.3">
      <c r="A50" s="41" t="s">
        <v>339</v>
      </c>
      <c r="B50" s="41"/>
      <c r="C50" s="56" t="s">
        <v>51</v>
      </c>
      <c r="D50" s="56"/>
      <c r="E50" s="56"/>
      <c r="F50" s="56"/>
      <c r="G50" s="56"/>
    </row>
    <row r="51" spans="1:7" x14ac:dyDescent="0.3">
      <c r="A51" s="41" t="s">
        <v>340</v>
      </c>
      <c r="B51" s="41"/>
      <c r="C51" s="56" t="s">
        <v>51</v>
      </c>
      <c r="D51" s="56"/>
      <c r="E51" s="56"/>
      <c r="F51" s="56"/>
      <c r="G51" s="56"/>
    </row>
  </sheetData>
  <mergeCells count="55">
    <mergeCell ref="A2:B2"/>
    <mergeCell ref="C2:E2"/>
    <mergeCell ref="F2:G2"/>
    <mergeCell ref="H2:I2"/>
    <mergeCell ref="A3:B3"/>
    <mergeCell ref="C3:E3"/>
    <mergeCell ref="H3:I3"/>
    <mergeCell ref="A4:B4"/>
    <mergeCell ref="C4:I4"/>
    <mergeCell ref="A5:I5"/>
    <mergeCell ref="A6:C6"/>
    <mergeCell ref="D6:E6"/>
    <mergeCell ref="F6:H6"/>
    <mergeCell ref="A9:C9"/>
    <mergeCell ref="D9:E9"/>
    <mergeCell ref="F9:H9"/>
    <mergeCell ref="A11:I11"/>
    <mergeCell ref="A7:C7"/>
    <mergeCell ref="D7:E7"/>
    <mergeCell ref="F7:H7"/>
    <mergeCell ref="A8:C8"/>
    <mergeCell ref="D8:E8"/>
    <mergeCell ref="F8:H8"/>
    <mergeCell ref="A12:B12"/>
    <mergeCell ref="D12:E12"/>
    <mergeCell ref="F12:G12"/>
    <mergeCell ref="A13:B13"/>
    <mergeCell ref="D13:E13"/>
    <mergeCell ref="F13:G13"/>
    <mergeCell ref="A26:B26"/>
    <mergeCell ref="A14:B14"/>
    <mergeCell ref="D14:E14"/>
    <mergeCell ref="F14:G14"/>
    <mergeCell ref="A16:B16"/>
    <mergeCell ref="C16:D16"/>
    <mergeCell ref="A20:B20"/>
    <mergeCell ref="A21:B21"/>
    <mergeCell ref="A22:B22"/>
    <mergeCell ref="A23:B23"/>
    <mergeCell ref="A24:B24"/>
    <mergeCell ref="A25:B25"/>
    <mergeCell ref="A28:I28"/>
    <mergeCell ref="A29:B29"/>
    <mergeCell ref="A30:B30"/>
    <mergeCell ref="A31:B31"/>
    <mergeCell ref="A32:B32"/>
    <mergeCell ref="A39:B39"/>
    <mergeCell ref="A40:B40"/>
    <mergeCell ref="A41:B41"/>
    <mergeCell ref="A42:B42"/>
    <mergeCell ref="A33:B33"/>
    <mergeCell ref="A34:B34"/>
    <mergeCell ref="A36:I36"/>
    <mergeCell ref="A37:B37"/>
    <mergeCell ref="A38:B38"/>
  </mergeCells>
  <conditionalFormatting sqref="K3 N3">
    <cfRule type="cellIs" dxfId="1" priority="2" stopIfTrue="1" operator="equal">
      <formula>"Unallocated Sales"</formula>
    </cfRule>
  </conditionalFormatting>
  <conditionalFormatting sqref="O3 L3:L9">
    <cfRule type="cellIs" dxfId="0" priority="1" stopIfTrue="1" operator="equal">
      <formula>1</formula>
    </cfRule>
  </conditionalFormatting>
  <dataValidations count="1">
    <dataValidation type="list" allowBlank="1" showInputMessage="1" showErrorMessage="1" sqref="C16:D16" xr:uid="{A61D6FD3-C59E-4800-BB57-1E295809B66B}">
      <formula1>newPeriod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48DF-D3FE-4CB9-BC35-D7987000F49F}">
  <sheetPr>
    <tabColor theme="3" tint="0.749992370372631"/>
  </sheetPr>
  <dimension ref="A2:AV40"/>
  <sheetViews>
    <sheetView showGridLines="0" zoomScaleNormal="100" workbookViewId="0">
      <selection activeCell="B4" sqref="B4:B34"/>
    </sheetView>
  </sheetViews>
  <sheetFormatPr baseColWidth="10" defaultRowHeight="14.4" x14ac:dyDescent="0.3"/>
  <cols>
    <col min="1" max="1" width="32.44140625" customWidth="1"/>
    <col min="2" max="2" width="12.5546875" customWidth="1"/>
    <col min="3" max="3" width="8.33203125" customWidth="1"/>
    <col min="4" max="4" width="8.21875" customWidth="1"/>
    <col min="5" max="5" width="2.6640625" customWidth="1"/>
    <col min="6" max="6" width="11.44140625" style="26" customWidth="1"/>
    <col min="7" max="8" width="11.5546875" style="26"/>
    <col min="9" max="9" width="2" style="26" customWidth="1"/>
    <col min="10" max="16" width="7.77734375" style="26" customWidth="1"/>
    <col min="17" max="17" width="2.77734375" style="26" customWidth="1"/>
    <col min="18" max="24" width="7.77734375" style="26" customWidth="1"/>
    <col min="25" max="25" width="2.33203125" style="26" customWidth="1"/>
    <col min="26" max="32" width="7.77734375" style="26" customWidth="1"/>
    <col min="33" max="33" width="1.5546875" style="26" customWidth="1"/>
    <col min="34" max="40" width="7.77734375" style="26" customWidth="1"/>
    <col min="41" max="41" width="1.5546875" style="26" customWidth="1"/>
    <col min="42" max="48" width="7.77734375" style="26" customWidth="1"/>
  </cols>
  <sheetData>
    <row r="2" spans="1:48" s="63" customFormat="1" ht="19.2" customHeight="1" x14ac:dyDescent="0.3">
      <c r="A2" s="137" t="s">
        <v>442</v>
      </c>
      <c r="B2" s="137"/>
      <c r="C2" s="137"/>
      <c r="D2" s="137"/>
      <c r="E2" s="19"/>
      <c r="F2" s="80" t="s">
        <v>436</v>
      </c>
      <c r="G2" s="136" t="s">
        <v>437</v>
      </c>
      <c r="H2" s="136"/>
      <c r="I2" s="74"/>
      <c r="J2" s="136" t="s">
        <v>440</v>
      </c>
      <c r="K2" s="136"/>
      <c r="L2" s="136"/>
      <c r="M2" s="136"/>
      <c r="N2" s="136"/>
      <c r="O2" s="136"/>
      <c r="P2" s="136"/>
      <c r="Q2" s="75"/>
      <c r="R2" s="136" t="s">
        <v>318</v>
      </c>
      <c r="S2" s="136"/>
      <c r="T2" s="136"/>
      <c r="U2" s="136"/>
      <c r="V2" s="136"/>
      <c r="W2" s="136"/>
      <c r="X2" s="136"/>
      <c r="Y2" s="75"/>
      <c r="Z2" s="136" t="s">
        <v>438</v>
      </c>
      <c r="AA2" s="136"/>
      <c r="AB2" s="136"/>
      <c r="AC2" s="136"/>
      <c r="AD2" s="136"/>
      <c r="AE2" s="136"/>
      <c r="AF2" s="136"/>
      <c r="AG2" s="75"/>
      <c r="AH2" s="136" t="s">
        <v>431</v>
      </c>
      <c r="AI2" s="136"/>
      <c r="AJ2" s="136"/>
      <c r="AK2" s="136"/>
      <c r="AL2" s="136"/>
      <c r="AM2" s="136"/>
      <c r="AN2" s="136"/>
      <c r="AO2" s="75"/>
      <c r="AP2" s="136" t="s">
        <v>439</v>
      </c>
      <c r="AQ2" s="136"/>
      <c r="AR2" s="136"/>
      <c r="AS2" s="136"/>
      <c r="AT2" s="136"/>
      <c r="AU2" s="136"/>
      <c r="AV2" s="136"/>
    </row>
    <row r="3" spans="1:48" x14ac:dyDescent="0.3">
      <c r="A3" s="76" t="s">
        <v>353</v>
      </c>
      <c r="B3" s="76" t="s">
        <v>352</v>
      </c>
      <c r="C3" s="76" t="s">
        <v>354</v>
      </c>
      <c r="D3" s="76" t="s">
        <v>441</v>
      </c>
      <c r="E3" s="27"/>
      <c r="F3" s="77" t="s">
        <v>435</v>
      </c>
      <c r="G3" s="77" t="s">
        <v>434</v>
      </c>
      <c r="H3" s="77" t="s">
        <v>433</v>
      </c>
      <c r="I3"/>
      <c r="J3" s="78">
        <v>2021</v>
      </c>
      <c r="K3" s="78">
        <v>2022</v>
      </c>
      <c r="L3" s="78">
        <v>2023</v>
      </c>
      <c r="M3" s="78">
        <v>2024</v>
      </c>
      <c r="N3" s="78">
        <v>2025</v>
      </c>
      <c r="O3" s="78">
        <v>2026</v>
      </c>
      <c r="P3" s="78">
        <v>2027</v>
      </c>
      <c r="Q3" s="84"/>
      <c r="R3" s="79">
        <v>2021</v>
      </c>
      <c r="S3" s="79">
        <v>2022</v>
      </c>
      <c r="T3" s="79">
        <v>2023</v>
      </c>
      <c r="U3" s="79">
        <v>2024</v>
      </c>
      <c r="V3" s="79">
        <v>2025</v>
      </c>
      <c r="W3" s="79">
        <v>2026</v>
      </c>
      <c r="X3" s="79">
        <v>2027</v>
      </c>
      <c r="Y3" s="84"/>
      <c r="Z3" s="79">
        <v>2021</v>
      </c>
      <c r="AA3" s="79">
        <v>2022</v>
      </c>
      <c r="AB3" s="79">
        <v>2023</v>
      </c>
      <c r="AC3" s="79">
        <v>2024</v>
      </c>
      <c r="AD3" s="79">
        <v>2025</v>
      </c>
      <c r="AE3" s="79">
        <v>2026</v>
      </c>
      <c r="AF3" s="79">
        <v>2027</v>
      </c>
      <c r="AG3" s="84"/>
      <c r="AH3" s="79">
        <v>2021</v>
      </c>
      <c r="AI3" s="79">
        <v>2022</v>
      </c>
      <c r="AJ3" s="79">
        <v>2023</v>
      </c>
      <c r="AK3" s="79">
        <v>2024</v>
      </c>
      <c r="AL3" s="79">
        <v>2025</v>
      </c>
      <c r="AM3" s="79">
        <v>2026</v>
      </c>
      <c r="AN3" s="79">
        <v>2027</v>
      </c>
      <c r="AO3" s="84"/>
      <c r="AP3" s="79">
        <v>2021</v>
      </c>
      <c r="AQ3" s="79">
        <v>2022</v>
      </c>
      <c r="AR3" s="79">
        <v>2023</v>
      </c>
      <c r="AS3" s="79">
        <v>2024</v>
      </c>
      <c r="AT3" s="79">
        <v>2025</v>
      </c>
      <c r="AU3" s="79">
        <v>2026</v>
      </c>
      <c r="AV3" s="79">
        <v>2027</v>
      </c>
    </row>
    <row r="4" spans="1:48" x14ac:dyDescent="0.3">
      <c r="A4" s="24" t="s">
        <v>356</v>
      </c>
      <c r="B4" s="106" t="s">
        <v>355</v>
      </c>
      <c r="C4" s="24" t="s">
        <v>357</v>
      </c>
      <c r="D4" s="20" t="s">
        <v>312</v>
      </c>
      <c r="E4" s="20"/>
      <c r="F4" s="22">
        <v>78034.835572825337</v>
      </c>
      <c r="G4" s="81">
        <v>5.4891337519106465E-2</v>
      </c>
      <c r="H4" s="81">
        <v>-1.244819894581195E-2</v>
      </c>
      <c r="I4"/>
      <c r="J4" s="82" t="s">
        <v>51</v>
      </c>
      <c r="K4" s="82" t="s">
        <v>51</v>
      </c>
      <c r="L4" s="82" t="s">
        <v>51</v>
      </c>
      <c r="M4" s="82" t="s">
        <v>51</v>
      </c>
      <c r="N4" s="83" t="s">
        <v>51</v>
      </c>
      <c r="O4" s="83" t="s">
        <v>51</v>
      </c>
      <c r="P4" s="83" t="s">
        <v>51</v>
      </c>
      <c r="Q4" s="84"/>
      <c r="R4" s="84" t="s">
        <v>51</v>
      </c>
      <c r="S4" s="84" t="s">
        <v>51</v>
      </c>
      <c r="T4" s="84" t="s">
        <v>51</v>
      </c>
      <c r="U4" s="84" t="s">
        <v>51</v>
      </c>
      <c r="V4" s="85" t="s">
        <v>51</v>
      </c>
      <c r="W4" s="85" t="s">
        <v>51</v>
      </c>
      <c r="X4" s="85" t="s">
        <v>51</v>
      </c>
      <c r="Y4" s="84"/>
      <c r="Z4" s="84" t="s">
        <v>51</v>
      </c>
      <c r="AA4" s="84" t="s">
        <v>51</v>
      </c>
      <c r="AB4" s="84" t="s">
        <v>51</v>
      </c>
      <c r="AC4" s="84" t="s">
        <v>51</v>
      </c>
      <c r="AD4" s="85" t="s">
        <v>51</v>
      </c>
      <c r="AE4" s="85" t="s">
        <v>51</v>
      </c>
      <c r="AF4" s="85" t="s">
        <v>51</v>
      </c>
      <c r="AG4" s="84"/>
      <c r="AH4" s="84" t="s">
        <v>51</v>
      </c>
      <c r="AI4" s="84" t="s">
        <v>51</v>
      </c>
      <c r="AJ4" s="84" t="s">
        <v>51</v>
      </c>
      <c r="AK4" s="84" t="s">
        <v>51</v>
      </c>
      <c r="AL4" s="85" t="s">
        <v>51</v>
      </c>
      <c r="AM4" s="85" t="s">
        <v>51</v>
      </c>
      <c r="AN4" s="85" t="s">
        <v>51</v>
      </c>
      <c r="AO4" s="84"/>
      <c r="AP4" s="84" t="s">
        <v>51</v>
      </c>
      <c r="AQ4" s="84" t="s">
        <v>51</v>
      </c>
      <c r="AR4" s="84" t="s">
        <v>51</v>
      </c>
      <c r="AS4" s="84" t="s">
        <v>51</v>
      </c>
      <c r="AT4" s="85" t="s">
        <v>51</v>
      </c>
      <c r="AU4" s="85" t="s">
        <v>51</v>
      </c>
      <c r="AV4" s="85" t="s">
        <v>51</v>
      </c>
    </row>
    <row r="5" spans="1:48" x14ac:dyDescent="0.3">
      <c r="A5" s="25" t="s">
        <v>359</v>
      </c>
      <c r="B5" s="59" t="s">
        <v>358</v>
      </c>
      <c r="C5" s="25" t="s">
        <v>357</v>
      </c>
      <c r="D5" s="21" t="s">
        <v>360</v>
      </c>
      <c r="E5" s="21"/>
      <c r="F5" s="23">
        <v>8820.1336222118789</v>
      </c>
      <c r="G5" s="81">
        <v>0.16135695125839034</v>
      </c>
      <c r="H5" s="81">
        <v>0.14574809806804279</v>
      </c>
      <c r="I5"/>
      <c r="J5" s="82">
        <v>7.3033616319409242</v>
      </c>
      <c r="K5" s="82">
        <v>11.23510644174319</v>
      </c>
      <c r="L5" s="82">
        <v>28.477640562201525</v>
      </c>
      <c r="M5" s="82">
        <v>69.010688433444869</v>
      </c>
      <c r="N5" s="83">
        <v>21.765803027917677</v>
      </c>
      <c r="O5" s="83">
        <v>18.146508578064704</v>
      </c>
      <c r="P5" s="83">
        <v>16.138199328318411</v>
      </c>
      <c r="Q5" s="84"/>
      <c r="R5" s="84">
        <v>10.045822195318406</v>
      </c>
      <c r="S5" s="84">
        <v>14.525417411002401</v>
      </c>
      <c r="T5" s="84">
        <v>22.815002383141469</v>
      </c>
      <c r="U5" s="84">
        <v>5.6452743494398998</v>
      </c>
      <c r="V5" s="85">
        <v>9.538910820648848</v>
      </c>
      <c r="W5" s="85">
        <v>18.965031585147511</v>
      </c>
      <c r="X5" s="85">
        <v>12.828577657048303</v>
      </c>
      <c r="Y5" s="84"/>
      <c r="Z5" s="84">
        <v>4.8813629088017967</v>
      </c>
      <c r="AA5" s="84">
        <v>6.5310525908677661</v>
      </c>
      <c r="AB5" s="84">
        <v>10.548464708777201</v>
      </c>
      <c r="AC5" s="84">
        <v>4.0015050182773928</v>
      </c>
      <c r="AD5" s="85">
        <v>4.8103355312580307</v>
      </c>
      <c r="AE5" s="85">
        <v>9.4146872144124192</v>
      </c>
      <c r="AF5" s="85">
        <v>7.4401746417748686</v>
      </c>
      <c r="AG5" s="84"/>
      <c r="AH5" s="86">
        <v>0.18528799790860401</v>
      </c>
      <c r="AI5" s="86">
        <v>9.1734905334463046E-2</v>
      </c>
      <c r="AJ5" s="86">
        <v>4.9186197721135742E-2</v>
      </c>
      <c r="AK5" s="86">
        <v>-4.337995651496495E-2</v>
      </c>
      <c r="AL5" s="87">
        <v>1.7218504876635458E-2</v>
      </c>
      <c r="AM5" s="87">
        <v>1.707383438475106E-2</v>
      </c>
      <c r="AN5" s="87">
        <v>1.2013802815021997E-2</v>
      </c>
      <c r="AO5" s="84"/>
      <c r="AP5" s="81">
        <v>4.9930263157894735E-2</v>
      </c>
      <c r="AQ5" s="81">
        <v>7.6523465703971102E-2</v>
      </c>
      <c r="AR5" s="81">
        <v>4.3860885608856086E-2</v>
      </c>
      <c r="AS5" s="81">
        <v>4.1878738884397741E-2</v>
      </c>
      <c r="AT5" s="88">
        <v>1.7738910329016172E-2</v>
      </c>
      <c r="AU5" s="88">
        <v>1.5283073701534073E-2</v>
      </c>
      <c r="AV5" s="88">
        <v>1.5074951953442373E-2</v>
      </c>
    </row>
    <row r="6" spans="1:48" x14ac:dyDescent="0.3">
      <c r="A6" s="25" t="s">
        <v>362</v>
      </c>
      <c r="B6" s="59" t="s">
        <v>361</v>
      </c>
      <c r="C6" s="25" t="s">
        <v>357</v>
      </c>
      <c r="D6" s="21" t="s">
        <v>360</v>
      </c>
      <c r="E6" s="21"/>
      <c r="F6" s="23">
        <v>12849.974059099086</v>
      </c>
      <c r="G6" s="81">
        <v>6.9562298584850746E-2</v>
      </c>
      <c r="H6" s="81">
        <v>0.12338763029641098</v>
      </c>
      <c r="I6"/>
      <c r="J6" s="82">
        <v>18.758295575029535</v>
      </c>
      <c r="K6" s="82">
        <v>12.361132750557877</v>
      </c>
      <c r="L6" s="82" t="s">
        <v>51</v>
      </c>
      <c r="M6" s="82" t="s">
        <v>51</v>
      </c>
      <c r="N6" s="83">
        <v>624.09646433040757</v>
      </c>
      <c r="O6" s="83">
        <v>26.108195695794421</v>
      </c>
      <c r="P6" s="83">
        <v>9.4085184353354823</v>
      </c>
      <c r="Q6" s="84"/>
      <c r="R6" s="84">
        <v>18.470017761009679</v>
      </c>
      <c r="S6" s="84">
        <v>32.128714392592613</v>
      </c>
      <c r="T6" s="84">
        <v>32.974161316963283</v>
      </c>
      <c r="U6" s="84">
        <v>10.197419210435362</v>
      </c>
      <c r="V6" s="85">
        <v>9.4464699287229479</v>
      </c>
      <c r="W6" s="85">
        <v>165.7324230972159</v>
      </c>
      <c r="X6" s="85">
        <v>20.932483831949654</v>
      </c>
      <c r="Y6" s="84"/>
      <c r="Z6" s="84">
        <v>8.9314072735545906</v>
      </c>
      <c r="AA6" s="84">
        <v>11.027523984133888</v>
      </c>
      <c r="AB6" s="84">
        <v>11.98590068791291</v>
      </c>
      <c r="AC6" s="84">
        <v>7.0235671019912704</v>
      </c>
      <c r="AD6" s="85">
        <v>6.0989741026413506</v>
      </c>
      <c r="AE6" s="85">
        <v>10.781592161453577</v>
      </c>
      <c r="AF6" s="85">
        <v>11.750042899431199</v>
      </c>
      <c r="AG6" s="84"/>
      <c r="AH6" s="86">
        <v>8.8102927939852804E-2</v>
      </c>
      <c r="AI6" s="86">
        <v>9.8857497968354122E-2</v>
      </c>
      <c r="AJ6" s="86">
        <v>-9.0221297522224339E-2</v>
      </c>
      <c r="AK6" s="86">
        <v>1.841959845275373E-4</v>
      </c>
      <c r="AL6" s="87">
        <v>1.1193449714401234E-3</v>
      </c>
      <c r="AM6" s="87">
        <v>1.8680561888061036E-2</v>
      </c>
      <c r="AN6" s="87">
        <v>7.8990580532982385E-2</v>
      </c>
      <c r="AO6" s="84"/>
      <c r="AP6" s="81">
        <v>4.1787248100429462E-4</v>
      </c>
      <c r="AQ6" s="81">
        <v>7.8913043478260874E-3</v>
      </c>
      <c r="AR6" s="81">
        <v>2.5561935483870969E-2</v>
      </c>
      <c r="AS6" s="81" t="s">
        <v>51</v>
      </c>
      <c r="AT6" s="88">
        <v>1.7528102055623242E-3</v>
      </c>
      <c r="AU6" s="88">
        <v>9.0886455103231624E-4</v>
      </c>
      <c r="AV6" s="88">
        <v>1.2983779300461658E-2</v>
      </c>
    </row>
    <row r="7" spans="1:48" x14ac:dyDescent="0.3">
      <c r="A7" s="25" t="s">
        <v>364</v>
      </c>
      <c r="B7" s="59" t="s">
        <v>363</v>
      </c>
      <c r="C7" s="25" t="s">
        <v>365</v>
      </c>
      <c r="D7" s="21" t="s">
        <v>366</v>
      </c>
      <c r="E7" s="21"/>
      <c r="F7" s="23">
        <v>5428.717722969066</v>
      </c>
      <c r="G7" s="81">
        <v>0.38267193897894947</v>
      </c>
      <c r="H7" s="81">
        <v>0.21973324653744797</v>
      </c>
      <c r="I7"/>
      <c r="J7" s="82">
        <v>4.0683642559326101</v>
      </c>
      <c r="K7" s="82">
        <v>12.371121720917746</v>
      </c>
      <c r="L7" s="82">
        <v>290.23741596527435</v>
      </c>
      <c r="M7" s="82">
        <v>15.262811353295406</v>
      </c>
      <c r="N7" s="83">
        <v>12.327624246731304</v>
      </c>
      <c r="O7" s="83">
        <v>9.245718185048478</v>
      </c>
      <c r="P7" s="83">
        <v>7.8037792708960652</v>
      </c>
      <c r="Q7" s="84"/>
      <c r="R7" s="84">
        <v>15.881833720636628</v>
      </c>
      <c r="S7" s="84">
        <v>32.119668992289846</v>
      </c>
      <c r="T7" s="84">
        <v>29.322017369987169</v>
      </c>
      <c r="U7" s="84">
        <v>5.7081249170440875</v>
      </c>
      <c r="V7" s="85">
        <v>13.400754298493055</v>
      </c>
      <c r="W7" s="85">
        <v>16.872857677774249</v>
      </c>
      <c r="X7" s="85">
        <v>11.132276174800312</v>
      </c>
      <c r="Y7" s="84"/>
      <c r="Z7" s="84">
        <v>7.4965835401107279</v>
      </c>
      <c r="AA7" s="84">
        <v>8.3189574485953592</v>
      </c>
      <c r="AB7" s="84">
        <v>10.072765466021913</v>
      </c>
      <c r="AC7" s="84">
        <v>3.8621091517783359</v>
      </c>
      <c r="AD7" s="85">
        <v>6.4916631912235685</v>
      </c>
      <c r="AE7" s="85">
        <v>6.2038701766589579</v>
      </c>
      <c r="AF7" s="85">
        <v>5.6136638458385235</v>
      </c>
      <c r="AG7" s="84"/>
      <c r="AH7" s="86">
        <v>0.46538072482472359</v>
      </c>
      <c r="AI7" s="86">
        <v>8.4727853544661502E-2</v>
      </c>
      <c r="AJ7" s="86">
        <v>4.2229729729729732E-3</v>
      </c>
      <c r="AK7" s="86">
        <v>5.8422344110854493E-2</v>
      </c>
      <c r="AL7" s="87">
        <v>0.12346668243289698</v>
      </c>
      <c r="AM7" s="87">
        <v>0.12758660748345202</v>
      </c>
      <c r="AN7" s="87">
        <v>0.12668087046802584</v>
      </c>
      <c r="AO7" s="84"/>
      <c r="AP7" s="81" t="s">
        <v>51</v>
      </c>
      <c r="AQ7" s="81" t="s">
        <v>51</v>
      </c>
      <c r="AR7" s="81" t="s">
        <v>51</v>
      </c>
      <c r="AS7" s="81" t="s">
        <v>51</v>
      </c>
      <c r="AT7" s="88" t="s">
        <v>51</v>
      </c>
      <c r="AU7" s="88" t="s">
        <v>51</v>
      </c>
      <c r="AV7" s="88" t="s">
        <v>51</v>
      </c>
    </row>
    <row r="8" spans="1:48" x14ac:dyDescent="0.3">
      <c r="A8" s="25" t="s">
        <v>368</v>
      </c>
      <c r="B8" s="59" t="s">
        <v>367</v>
      </c>
      <c r="C8" s="25" t="s">
        <v>365</v>
      </c>
      <c r="D8" s="21" t="s">
        <v>360</v>
      </c>
      <c r="E8" s="21"/>
      <c r="F8" s="23">
        <v>2306.4447308124127</v>
      </c>
      <c r="G8" s="81">
        <v>0.28634991111091312</v>
      </c>
      <c r="H8" s="81">
        <v>0.22382098937374328</v>
      </c>
      <c r="I8"/>
      <c r="J8" s="82" t="s">
        <v>51</v>
      </c>
      <c r="K8" s="82" t="s">
        <v>51</v>
      </c>
      <c r="L8" s="82" t="s">
        <v>51</v>
      </c>
      <c r="M8" s="82" t="s">
        <v>51</v>
      </c>
      <c r="N8" s="83" t="s">
        <v>51</v>
      </c>
      <c r="O8" s="83" t="s">
        <v>51</v>
      </c>
      <c r="P8" s="83" t="s">
        <v>51</v>
      </c>
      <c r="Q8" s="84"/>
      <c r="R8" s="84" t="s">
        <v>51</v>
      </c>
      <c r="S8" s="84" t="s">
        <v>51</v>
      </c>
      <c r="T8" s="84" t="s">
        <v>51</v>
      </c>
      <c r="U8" s="84" t="s">
        <v>51</v>
      </c>
      <c r="V8" s="85" t="s">
        <v>51</v>
      </c>
      <c r="W8" s="85" t="s">
        <v>51</v>
      </c>
      <c r="X8" s="85" t="s">
        <v>51</v>
      </c>
      <c r="Y8" s="84"/>
      <c r="Z8" s="84" t="s">
        <v>51</v>
      </c>
      <c r="AA8" s="84" t="s">
        <v>51</v>
      </c>
      <c r="AB8" s="84" t="s">
        <v>51</v>
      </c>
      <c r="AC8" s="84" t="s">
        <v>51</v>
      </c>
      <c r="AD8" s="85" t="s">
        <v>51</v>
      </c>
      <c r="AE8" s="85" t="s">
        <v>51</v>
      </c>
      <c r="AF8" s="85" t="s">
        <v>51</v>
      </c>
      <c r="AG8" s="84"/>
      <c r="AH8" s="86">
        <v>-0.39221525811135227</v>
      </c>
      <c r="AI8" s="86">
        <v>-1.3677926239757487</v>
      </c>
      <c r="AJ8" s="86">
        <v>-0.77384235753470687</v>
      </c>
      <c r="AK8" s="86">
        <v>-0.473719822250668</v>
      </c>
      <c r="AL8" s="87" t="s">
        <v>51</v>
      </c>
      <c r="AM8" s="87" t="s">
        <v>51</v>
      </c>
      <c r="AN8" s="87" t="s">
        <v>51</v>
      </c>
      <c r="AO8" s="84"/>
      <c r="AP8" s="81" t="s">
        <v>51</v>
      </c>
      <c r="AQ8" s="81" t="s">
        <v>51</v>
      </c>
      <c r="AR8" s="81" t="s">
        <v>51</v>
      </c>
      <c r="AS8" s="81" t="s">
        <v>51</v>
      </c>
      <c r="AT8" s="88" t="s">
        <v>51</v>
      </c>
      <c r="AU8" s="88" t="s">
        <v>51</v>
      </c>
      <c r="AV8" s="88" t="s">
        <v>51</v>
      </c>
    </row>
    <row r="9" spans="1:48" x14ac:dyDescent="0.3">
      <c r="A9" s="25" t="s">
        <v>370</v>
      </c>
      <c r="B9" s="59" t="s">
        <v>369</v>
      </c>
      <c r="C9" s="25" t="s">
        <v>357</v>
      </c>
      <c r="D9" s="21" t="s">
        <v>360</v>
      </c>
      <c r="E9" s="21"/>
      <c r="F9" s="23">
        <v>4352.3315398721506</v>
      </c>
      <c r="G9" s="81">
        <v>0.11382586376578763</v>
      </c>
      <c r="H9" s="81">
        <v>-0.12483237158828653</v>
      </c>
      <c r="I9"/>
      <c r="J9" s="82" t="s">
        <v>51</v>
      </c>
      <c r="K9" s="82">
        <v>33.782817827707234</v>
      </c>
      <c r="L9" s="82" t="s">
        <v>51</v>
      </c>
      <c r="M9" s="82">
        <v>55.989680264286413</v>
      </c>
      <c r="N9" s="83">
        <v>28.219486589351824</v>
      </c>
      <c r="O9" s="83">
        <v>11.823999253029266</v>
      </c>
      <c r="P9" s="83">
        <v>7.9604499672564737</v>
      </c>
      <c r="Q9" s="84"/>
      <c r="R9" s="84" t="s">
        <v>51</v>
      </c>
      <c r="S9" s="84" t="s">
        <v>51</v>
      </c>
      <c r="T9" s="84" t="s">
        <v>51</v>
      </c>
      <c r="U9" s="84">
        <v>6.761015135216649</v>
      </c>
      <c r="V9" s="85">
        <v>29.189380893006724</v>
      </c>
      <c r="W9" s="85">
        <v>169.54654433115951</v>
      </c>
      <c r="X9" s="85">
        <v>36.170885834760163</v>
      </c>
      <c r="Y9" s="84"/>
      <c r="Z9" s="84" t="s">
        <v>51</v>
      </c>
      <c r="AA9" s="84" t="s">
        <v>51</v>
      </c>
      <c r="AB9" s="84" t="s">
        <v>51</v>
      </c>
      <c r="AC9" s="84">
        <v>5.3553565296953467</v>
      </c>
      <c r="AD9" s="85">
        <v>12.93613475116428</v>
      </c>
      <c r="AE9" s="85">
        <v>20.692653846075757</v>
      </c>
      <c r="AF9" s="85">
        <v>12.298439463769814</v>
      </c>
      <c r="AG9" s="84"/>
      <c r="AH9" s="86" t="s">
        <v>51</v>
      </c>
      <c r="AI9" s="86">
        <v>6.4867593647382815E-2</v>
      </c>
      <c r="AJ9" s="86">
        <v>-3.7574161961519671E-2</v>
      </c>
      <c r="AK9" s="86">
        <v>2.9012498617719231E-2</v>
      </c>
      <c r="AL9" s="87">
        <v>5.2623072847755969E-2</v>
      </c>
      <c r="AM9" s="87">
        <v>8.9811444147874744E-2</v>
      </c>
      <c r="AN9" s="87">
        <v>0.10061464787763953</v>
      </c>
      <c r="AO9" s="84"/>
      <c r="AP9" s="81" t="s">
        <v>51</v>
      </c>
      <c r="AQ9" s="81" t="s">
        <v>51</v>
      </c>
      <c r="AR9" s="81" t="s">
        <v>51</v>
      </c>
      <c r="AS9" s="81" t="s">
        <v>51</v>
      </c>
      <c r="AT9" s="88" t="s">
        <v>51</v>
      </c>
      <c r="AU9" s="88" t="s">
        <v>51</v>
      </c>
      <c r="AV9" s="88" t="s">
        <v>51</v>
      </c>
    </row>
    <row r="10" spans="1:48" x14ac:dyDescent="0.3">
      <c r="A10" s="25" t="s">
        <v>372</v>
      </c>
      <c r="B10" s="59" t="s">
        <v>371</v>
      </c>
      <c r="C10" s="25" t="s">
        <v>365</v>
      </c>
      <c r="D10" s="21" t="s">
        <v>360</v>
      </c>
      <c r="E10" s="21"/>
      <c r="F10" s="23">
        <v>9931.160234898156</v>
      </c>
      <c r="G10" s="81">
        <v>-0.28793603240807475</v>
      </c>
      <c r="H10" s="81">
        <v>-0.43586921912120613</v>
      </c>
      <c r="I10"/>
      <c r="J10" s="82">
        <v>175.8691928842459</v>
      </c>
      <c r="K10" s="82">
        <v>23.963613201796388</v>
      </c>
      <c r="L10" s="82">
        <v>37.217533639557594</v>
      </c>
      <c r="M10" s="82">
        <v>69.606129432524241</v>
      </c>
      <c r="N10" s="83">
        <v>31.42690771837476</v>
      </c>
      <c r="O10" s="83">
        <v>14.831937644243071</v>
      </c>
      <c r="P10" s="83">
        <v>12.397051070375774</v>
      </c>
      <c r="Q10" s="84"/>
      <c r="R10" s="84" t="s">
        <v>51</v>
      </c>
      <c r="S10" s="84" t="s">
        <v>51</v>
      </c>
      <c r="T10" s="84" t="s">
        <v>51</v>
      </c>
      <c r="U10" s="84" t="s">
        <v>51</v>
      </c>
      <c r="V10" s="85" t="s">
        <v>51</v>
      </c>
      <c r="W10" s="85" t="s">
        <v>51</v>
      </c>
      <c r="X10" s="85" t="s">
        <v>51</v>
      </c>
      <c r="Y10" s="84"/>
      <c r="Z10" s="84" t="s">
        <v>51</v>
      </c>
      <c r="AA10" s="84" t="s">
        <v>51</v>
      </c>
      <c r="AB10" s="84" t="s">
        <v>51</v>
      </c>
      <c r="AC10" s="84" t="s">
        <v>51</v>
      </c>
      <c r="AD10" s="85" t="s">
        <v>51</v>
      </c>
      <c r="AE10" s="85" t="s">
        <v>51</v>
      </c>
      <c r="AF10" s="85" t="s">
        <v>51</v>
      </c>
      <c r="AG10" s="84"/>
      <c r="AH10" s="86">
        <v>2.2390201196478655E-2</v>
      </c>
      <c r="AI10" s="86">
        <v>0.1513746679984187</v>
      </c>
      <c r="AJ10" s="86">
        <v>9.6162651070126393E-2</v>
      </c>
      <c r="AK10" s="86">
        <v>5.2519211692698554E-2</v>
      </c>
      <c r="AL10" s="87">
        <v>5.3399999999999996E-2</v>
      </c>
      <c r="AM10" s="87">
        <v>0.16200000000000001</v>
      </c>
      <c r="AN10" s="87">
        <v>0.16469999999999999</v>
      </c>
      <c r="AO10" s="84"/>
      <c r="AP10" s="81" t="s">
        <v>51</v>
      </c>
      <c r="AQ10" s="81" t="s">
        <v>51</v>
      </c>
      <c r="AR10" s="81" t="s">
        <v>51</v>
      </c>
      <c r="AS10" s="81" t="s">
        <v>51</v>
      </c>
      <c r="AT10" s="88" t="s">
        <v>51</v>
      </c>
      <c r="AU10" s="88" t="s">
        <v>51</v>
      </c>
      <c r="AV10" s="88" t="s">
        <v>51</v>
      </c>
    </row>
    <row r="11" spans="1:48" x14ac:dyDescent="0.3">
      <c r="A11" s="25" t="s">
        <v>374</v>
      </c>
      <c r="B11" s="59" t="s">
        <v>373</v>
      </c>
      <c r="C11" s="25" t="s">
        <v>357</v>
      </c>
      <c r="D11" s="21" t="s">
        <v>375</v>
      </c>
      <c r="E11" s="21"/>
      <c r="F11" s="23">
        <v>2878.4378878146022</v>
      </c>
      <c r="G11" s="81">
        <v>0.13015346072444522</v>
      </c>
      <c r="H11" s="81">
        <v>-0.13249179598774874</v>
      </c>
      <c r="I11"/>
      <c r="J11" s="82">
        <v>38.962266001425377</v>
      </c>
      <c r="K11" s="82">
        <v>32.799674738939117</v>
      </c>
      <c r="L11" s="82">
        <v>89.45527738169811</v>
      </c>
      <c r="M11" s="82">
        <v>56.35805841444337</v>
      </c>
      <c r="N11" s="83" t="s">
        <v>51</v>
      </c>
      <c r="O11" s="83" t="s">
        <v>51</v>
      </c>
      <c r="P11" s="83" t="s">
        <v>51</v>
      </c>
      <c r="Q11" s="84"/>
      <c r="R11" s="84">
        <v>24.177559813398922</v>
      </c>
      <c r="S11" s="84" t="s">
        <v>51</v>
      </c>
      <c r="T11" s="84" t="s">
        <v>51</v>
      </c>
      <c r="U11" s="84">
        <v>32.67761496523319</v>
      </c>
      <c r="V11" s="85">
        <v>29.797463542447215</v>
      </c>
      <c r="W11" s="85">
        <v>100.84092775876029</v>
      </c>
      <c r="X11" s="85">
        <v>46.151973470297698</v>
      </c>
      <c r="Y11" s="84"/>
      <c r="Z11" s="84">
        <v>11.587830462953256</v>
      </c>
      <c r="AA11" s="84" t="s">
        <v>51</v>
      </c>
      <c r="AB11" s="84">
        <v>50.37636514205856</v>
      </c>
      <c r="AC11" s="84">
        <v>19.265461796987317</v>
      </c>
      <c r="AD11" s="85">
        <v>19.658455236087963</v>
      </c>
      <c r="AE11" s="85">
        <v>67.736350960429192</v>
      </c>
      <c r="AF11" s="85">
        <v>34.424569694099276</v>
      </c>
      <c r="AG11" s="84"/>
      <c r="AH11" s="86">
        <v>0.2223346597100653</v>
      </c>
      <c r="AI11" s="86">
        <v>0.16740700101990133</v>
      </c>
      <c r="AJ11" s="86">
        <v>0.13790128661951459</v>
      </c>
      <c r="AK11" s="86">
        <v>0.1765018075677425</v>
      </c>
      <c r="AL11" s="87" t="s">
        <v>51</v>
      </c>
      <c r="AM11" s="87" t="s">
        <v>51</v>
      </c>
      <c r="AN11" s="87" t="s">
        <v>51</v>
      </c>
      <c r="AO11" s="84"/>
      <c r="AP11" s="81">
        <v>7.7000319256633329E-3</v>
      </c>
      <c r="AQ11" s="81">
        <v>9.2015899414574793E-3</v>
      </c>
      <c r="AR11" s="81">
        <v>3.3737731160201788E-3</v>
      </c>
      <c r="AS11" s="81">
        <v>5.4255926840799757E-3</v>
      </c>
      <c r="AT11" s="88" t="s">
        <v>51</v>
      </c>
      <c r="AU11" s="88" t="s">
        <v>51</v>
      </c>
      <c r="AV11" s="88" t="s">
        <v>51</v>
      </c>
    </row>
    <row r="12" spans="1:48" x14ac:dyDescent="0.3">
      <c r="A12" s="25" t="s">
        <v>377</v>
      </c>
      <c r="B12" s="59" t="s">
        <v>376</v>
      </c>
      <c r="C12" s="25" t="s">
        <v>365</v>
      </c>
      <c r="D12" s="21" t="s">
        <v>360</v>
      </c>
      <c r="E12" s="21"/>
      <c r="F12" s="23">
        <v>3797.3974181284611</v>
      </c>
      <c r="G12" s="81">
        <v>0.15459564700712436</v>
      </c>
      <c r="H12" s="81">
        <v>4.8043008641412532E-2</v>
      </c>
      <c r="I12"/>
      <c r="J12" s="82" t="s">
        <v>51</v>
      </c>
      <c r="K12" s="82">
        <v>9.5209648074698698</v>
      </c>
      <c r="L12" s="82">
        <v>20.82288309252802</v>
      </c>
      <c r="M12" s="82">
        <v>19.874538142835203</v>
      </c>
      <c r="N12" s="83">
        <v>14.316786057976483</v>
      </c>
      <c r="O12" s="83">
        <v>13.524360360889968</v>
      </c>
      <c r="P12" s="83">
        <v>11.694281277804913</v>
      </c>
      <c r="Q12" s="84"/>
      <c r="R12" s="84">
        <v>7.362730138895758</v>
      </c>
      <c r="S12" s="84" t="s">
        <v>51</v>
      </c>
      <c r="T12" s="84" t="s">
        <v>51</v>
      </c>
      <c r="U12" s="84">
        <v>164.62312790530078</v>
      </c>
      <c r="V12" s="85">
        <v>10.634196226190367</v>
      </c>
      <c r="W12" s="85">
        <v>10.768505019691027</v>
      </c>
      <c r="X12" s="85">
        <v>9.3651223753639421</v>
      </c>
      <c r="Y12" s="84"/>
      <c r="Z12" s="84">
        <v>3.4816393645408712</v>
      </c>
      <c r="AA12" s="84">
        <v>26.273231016168278</v>
      </c>
      <c r="AB12" s="84">
        <v>8.2533688646118044</v>
      </c>
      <c r="AC12" s="84">
        <v>7.9551769031281099</v>
      </c>
      <c r="AD12" s="85">
        <v>4.1183940622919692</v>
      </c>
      <c r="AE12" s="85">
        <v>4.6361486544058081</v>
      </c>
      <c r="AF12" s="85">
        <v>4.5259670250611928</v>
      </c>
      <c r="AG12" s="84"/>
      <c r="AH12" s="86">
        <v>-0.15384712245729285</v>
      </c>
      <c r="AI12" s="86">
        <v>4.6172765075015484E-2</v>
      </c>
      <c r="AJ12" s="86">
        <v>3.6180907262131266E-2</v>
      </c>
      <c r="AK12" s="86">
        <v>3.2989169272932904E-2</v>
      </c>
      <c r="AL12" s="87">
        <v>0.10001100903890954</v>
      </c>
      <c r="AM12" s="87">
        <v>7.5444608444956762E-2</v>
      </c>
      <c r="AN12" s="87">
        <v>7.5374482295551104E-2</v>
      </c>
      <c r="AO12" s="84"/>
      <c r="AP12" s="81">
        <v>2.7617903930131E-3</v>
      </c>
      <c r="AQ12" s="81">
        <v>3.9561403508771931E-3</v>
      </c>
      <c r="AR12" s="81">
        <v>3.618356164383562E-3</v>
      </c>
      <c r="AS12" s="81">
        <v>2.4682675814751286E-3</v>
      </c>
      <c r="AT12" s="88">
        <v>1.5307132151221585E-3</v>
      </c>
      <c r="AU12" s="88">
        <v>1.6436590445874828E-3</v>
      </c>
      <c r="AV12" s="88">
        <v>1.6124503285510116E-3</v>
      </c>
    </row>
    <row r="13" spans="1:48" x14ac:dyDescent="0.3">
      <c r="A13" s="25" t="s">
        <v>379</v>
      </c>
      <c r="B13" s="59" t="s">
        <v>378</v>
      </c>
      <c r="C13" s="25" t="s">
        <v>365</v>
      </c>
      <c r="D13" s="21" t="s">
        <v>360</v>
      </c>
      <c r="E13" s="21"/>
      <c r="F13" s="23">
        <v>18861.60915327855</v>
      </c>
      <c r="G13" s="81">
        <v>8.3601214077160257E-3</v>
      </c>
      <c r="H13" s="81">
        <v>-0.15880232929161342</v>
      </c>
      <c r="I13"/>
      <c r="J13" s="82">
        <v>6.3805630260244364</v>
      </c>
      <c r="K13" s="82">
        <v>4.8528827422813112</v>
      </c>
      <c r="L13" s="82" t="s">
        <v>51</v>
      </c>
      <c r="M13" s="82">
        <v>1589.601824028535</v>
      </c>
      <c r="N13" s="83">
        <v>25.695732792568968</v>
      </c>
      <c r="O13" s="83">
        <v>20.893482558190072</v>
      </c>
      <c r="P13" s="83">
        <v>20.961281114044755</v>
      </c>
      <c r="Q13" s="84"/>
      <c r="R13" s="84">
        <v>4.3855982441471575</v>
      </c>
      <c r="S13" s="84" t="s">
        <v>51</v>
      </c>
      <c r="T13" s="84" t="s">
        <v>51</v>
      </c>
      <c r="U13" s="84">
        <v>6.2796302184105954</v>
      </c>
      <c r="V13" s="85">
        <v>5.3351683143429716</v>
      </c>
      <c r="W13" s="85">
        <v>158.17445478693693</v>
      </c>
      <c r="X13" s="85" t="s">
        <v>51</v>
      </c>
      <c r="Y13" s="84"/>
      <c r="Z13" s="84">
        <v>3.3478062868996328</v>
      </c>
      <c r="AA13" s="84">
        <v>8.5188480431518041</v>
      </c>
      <c r="AB13" s="84">
        <v>35.962279596333339</v>
      </c>
      <c r="AC13" s="84">
        <v>4.8363829023709419</v>
      </c>
      <c r="AD13" s="85">
        <v>4.3038667256351042</v>
      </c>
      <c r="AE13" s="85">
        <v>30.614410603923275</v>
      </c>
      <c r="AF13" s="85">
        <v>17.965250412050089</v>
      </c>
      <c r="AG13" s="84"/>
      <c r="AH13" s="86">
        <v>0.13325899080011153</v>
      </c>
      <c r="AI13" s="86">
        <v>0.13684557943809564</v>
      </c>
      <c r="AJ13" s="86">
        <v>9.1839652313146905E-2</v>
      </c>
      <c r="AK13" s="86">
        <v>1.5301988127767832E-2</v>
      </c>
      <c r="AL13" s="87">
        <v>1.7299999999999996E-2</v>
      </c>
      <c r="AM13" s="87">
        <v>5.3099999999999994E-2</v>
      </c>
      <c r="AN13" s="87">
        <v>4.1299999999999996E-2</v>
      </c>
      <c r="AO13" s="84"/>
      <c r="AP13" s="81">
        <v>5.5406547906392692E-3</v>
      </c>
      <c r="AQ13" s="81">
        <v>1.0154667734208388E-2</v>
      </c>
      <c r="AR13" s="81">
        <v>2.6214814867537399E-2</v>
      </c>
      <c r="AS13" s="81">
        <v>1.8025454359585254E-2</v>
      </c>
      <c r="AT13" s="88">
        <v>9.6679415407094835E-3</v>
      </c>
      <c r="AU13" s="88">
        <v>9.6329127670112605E-3</v>
      </c>
      <c r="AV13" s="88">
        <v>9.6144715282941596E-3</v>
      </c>
    </row>
    <row r="14" spans="1:48" x14ac:dyDescent="0.3">
      <c r="A14" s="25" t="s">
        <v>381</v>
      </c>
      <c r="B14" s="59" t="s">
        <v>380</v>
      </c>
      <c r="C14" s="25" t="s">
        <v>357</v>
      </c>
      <c r="D14" s="21" t="s">
        <v>382</v>
      </c>
      <c r="E14" s="21"/>
      <c r="F14" s="23">
        <v>6837.2823204023498</v>
      </c>
      <c r="G14" s="81">
        <v>8.9867664803464642E-3</v>
      </c>
      <c r="H14" s="81">
        <v>9.3535153508376379E-2</v>
      </c>
      <c r="I14"/>
      <c r="J14" s="82">
        <v>4.1492286273220884</v>
      </c>
      <c r="K14" s="82">
        <v>5.543323786297651</v>
      </c>
      <c r="L14" s="82" t="s">
        <v>51</v>
      </c>
      <c r="M14" s="82">
        <v>7.2259133293118145</v>
      </c>
      <c r="N14" s="83">
        <v>10.591188888776347</v>
      </c>
      <c r="O14" s="83">
        <v>6.2384873505474054</v>
      </c>
      <c r="P14" s="83">
        <v>7.5123908351982767</v>
      </c>
      <c r="Q14" s="84"/>
      <c r="R14" s="84">
        <v>11.749782419495213</v>
      </c>
      <c r="S14" s="84">
        <v>7.1796017878911016</v>
      </c>
      <c r="T14" s="84">
        <v>15.646269245953414</v>
      </c>
      <c r="U14" s="84">
        <v>7.3025830258302582</v>
      </c>
      <c r="V14" s="85">
        <v>6.6100395073204741</v>
      </c>
      <c r="W14" s="85" t="s">
        <v>51</v>
      </c>
      <c r="X14" s="85">
        <v>6.8992132681267266</v>
      </c>
      <c r="Y14" s="84"/>
      <c r="Z14" s="84">
        <v>6.5952613580850024</v>
      </c>
      <c r="AA14" s="84">
        <v>4.0330974663318875</v>
      </c>
      <c r="AB14" s="84">
        <v>8.814946619217082</v>
      </c>
      <c r="AC14" s="84">
        <v>5.2472491051305843</v>
      </c>
      <c r="AD14" s="85">
        <v>4.347752980739835</v>
      </c>
      <c r="AE14" s="85" t="s">
        <v>51</v>
      </c>
      <c r="AF14" s="85">
        <v>4.8363392457892376</v>
      </c>
      <c r="AG14" s="84"/>
      <c r="AH14" s="86">
        <v>0.25629709813064655</v>
      </c>
      <c r="AI14" s="86">
        <v>0.16139342183140271</v>
      </c>
      <c r="AJ14" s="86">
        <v>-0.12193754740000658</v>
      </c>
      <c r="AK14" s="86">
        <v>9.6314331290403843E-2</v>
      </c>
      <c r="AL14" s="87">
        <v>8.5999999999999993E-2</v>
      </c>
      <c r="AM14" s="87">
        <v>0.1623</v>
      </c>
      <c r="AN14" s="87">
        <v>0.1144</v>
      </c>
      <c r="AO14" s="84"/>
      <c r="AP14" s="81">
        <v>1.1311933069889007E-2</v>
      </c>
      <c r="AQ14" s="81">
        <v>2.32705002002731E-2</v>
      </c>
      <c r="AR14" s="81">
        <v>7.6298646279230158E-3</v>
      </c>
      <c r="AS14" s="81">
        <v>1.3485754257371314E-2</v>
      </c>
      <c r="AT14" s="88">
        <v>1.0193194713056514E-2</v>
      </c>
      <c r="AU14" s="88">
        <v>1.0367935193851768E-2</v>
      </c>
      <c r="AV14" s="88">
        <v>1.5998461797254417E-2</v>
      </c>
    </row>
    <row r="15" spans="1:48" x14ac:dyDescent="0.3">
      <c r="A15" s="25" t="s">
        <v>384</v>
      </c>
      <c r="B15" s="59" t="s">
        <v>383</v>
      </c>
      <c r="C15" s="25" t="s">
        <v>357</v>
      </c>
      <c r="D15" s="21" t="s">
        <v>385</v>
      </c>
      <c r="E15" s="21"/>
      <c r="F15" s="23">
        <v>2504.1443475452743</v>
      </c>
      <c r="G15" s="81">
        <v>3.0593082546499728E-2</v>
      </c>
      <c r="H15" s="81">
        <v>5.1375226246984207E-2</v>
      </c>
      <c r="I15"/>
      <c r="J15" s="82">
        <v>6.9696194255177994</v>
      </c>
      <c r="K15" s="82">
        <v>15.69735357942535</v>
      </c>
      <c r="L15" s="82">
        <v>16.567126322385619</v>
      </c>
      <c r="M15" s="82">
        <v>22.257795251107169</v>
      </c>
      <c r="N15" s="83">
        <v>12.811013169124879</v>
      </c>
      <c r="O15" s="83">
        <v>11.28589255375287</v>
      </c>
      <c r="P15" s="83" t="s">
        <v>51</v>
      </c>
      <c r="Q15" s="84"/>
      <c r="R15" s="84">
        <v>96.203666827622669</v>
      </c>
      <c r="S15" s="84">
        <v>99.860113049130632</v>
      </c>
      <c r="T15" s="84">
        <v>6.902189362425557</v>
      </c>
      <c r="U15" s="84">
        <v>12.289661043372691</v>
      </c>
      <c r="V15" s="85">
        <v>16.795318985682915</v>
      </c>
      <c r="W15" s="85">
        <v>26.289003994134614</v>
      </c>
      <c r="X15" s="85">
        <v>23.873029333230722</v>
      </c>
      <c r="Y15" s="84"/>
      <c r="Z15" s="84">
        <v>21.613027181887421</v>
      </c>
      <c r="AA15" s="84">
        <v>25.513433898550364</v>
      </c>
      <c r="AB15" s="84">
        <v>5.4304146779830003</v>
      </c>
      <c r="AC15" s="84">
        <v>9.9712262047738012</v>
      </c>
      <c r="AD15" s="85">
        <v>12.700835657826447</v>
      </c>
      <c r="AE15" s="85">
        <v>20.155630134814615</v>
      </c>
      <c r="AF15" s="85">
        <v>16.619255028130016</v>
      </c>
      <c r="AG15" s="84"/>
      <c r="AH15" s="86">
        <v>0.23287642440044273</v>
      </c>
      <c r="AI15" s="86">
        <v>0.13199415335433337</v>
      </c>
      <c r="AJ15" s="86">
        <v>0.13535358444588219</v>
      </c>
      <c r="AK15" s="86">
        <v>0.11035002580158276</v>
      </c>
      <c r="AL15" s="87">
        <v>0.16649999999999998</v>
      </c>
      <c r="AM15" s="87">
        <v>0.1595</v>
      </c>
      <c r="AN15" s="87" t="s">
        <v>51</v>
      </c>
      <c r="AO15" s="84"/>
      <c r="AP15" s="81" t="s">
        <v>51</v>
      </c>
      <c r="AQ15" s="81" t="s">
        <v>51</v>
      </c>
      <c r="AR15" s="81">
        <v>1.7289772675976058E-2</v>
      </c>
      <c r="AS15" s="81">
        <v>1.429795681180753E-2</v>
      </c>
      <c r="AT15" s="88" t="s">
        <v>51</v>
      </c>
      <c r="AU15" s="88" t="s">
        <v>51</v>
      </c>
      <c r="AV15" s="88" t="s">
        <v>51</v>
      </c>
    </row>
    <row r="16" spans="1:48" x14ac:dyDescent="0.3">
      <c r="A16" s="25" t="s">
        <v>387</v>
      </c>
      <c r="B16" s="59" t="s">
        <v>386</v>
      </c>
      <c r="C16" s="25" t="s">
        <v>357</v>
      </c>
      <c r="D16" s="21" t="s">
        <v>385</v>
      </c>
      <c r="E16" s="21"/>
      <c r="F16" s="23">
        <v>1270.2163647796826</v>
      </c>
      <c r="G16" s="81">
        <v>5.4246219925836225E-2</v>
      </c>
      <c r="H16" s="81">
        <v>-1.433535539588271E-2</v>
      </c>
      <c r="I16"/>
      <c r="J16" s="82" t="s">
        <v>51</v>
      </c>
      <c r="K16" s="82">
        <v>40.250272356349427</v>
      </c>
      <c r="L16" s="82" t="s">
        <v>51</v>
      </c>
      <c r="M16" s="82" t="s">
        <v>51</v>
      </c>
      <c r="N16" s="83">
        <v>223.28745119383589</v>
      </c>
      <c r="O16" s="83">
        <v>111.64372559691795</v>
      </c>
      <c r="P16" s="83" t="s">
        <v>51</v>
      </c>
      <c r="Q16" s="84"/>
      <c r="R16" s="84" t="s">
        <v>51</v>
      </c>
      <c r="S16" s="84" t="s">
        <v>51</v>
      </c>
      <c r="T16" s="84" t="s">
        <v>51</v>
      </c>
      <c r="U16" s="84">
        <v>26.091618548400483</v>
      </c>
      <c r="V16" s="85">
        <v>32.857036914308495</v>
      </c>
      <c r="W16" s="85" t="s">
        <v>51</v>
      </c>
      <c r="X16" s="85" t="s">
        <v>51</v>
      </c>
      <c r="Y16" s="84"/>
      <c r="Z16" s="84" t="s">
        <v>51</v>
      </c>
      <c r="AA16" s="84" t="s">
        <v>51</v>
      </c>
      <c r="AB16" s="84" t="s">
        <v>51</v>
      </c>
      <c r="AC16" s="84">
        <v>20.146719791401157</v>
      </c>
      <c r="AD16" s="85">
        <v>21.658258823985921</v>
      </c>
      <c r="AE16" s="85">
        <v>51.753876355414782</v>
      </c>
      <c r="AF16" s="85" t="s">
        <v>51</v>
      </c>
      <c r="AG16" s="84"/>
      <c r="AH16" s="86">
        <v>0.1943257914400196</v>
      </c>
      <c r="AI16" s="86">
        <v>6.8666055656784256E-2</v>
      </c>
      <c r="AJ16" s="86">
        <v>3.0644959353652176E-3</v>
      </c>
      <c r="AK16" s="86">
        <v>-2.8526753106930435E-2</v>
      </c>
      <c r="AL16" s="87" t="s">
        <v>51</v>
      </c>
      <c r="AM16" s="87" t="s">
        <v>51</v>
      </c>
      <c r="AN16" s="87" t="s">
        <v>51</v>
      </c>
      <c r="AO16" s="84"/>
      <c r="AP16" s="81" t="s">
        <v>51</v>
      </c>
      <c r="AQ16" s="81">
        <v>8.2798063011359415E-3</v>
      </c>
      <c r="AR16" s="81">
        <v>5.0732216620907825E-3</v>
      </c>
      <c r="AS16" s="81" t="s">
        <v>51</v>
      </c>
      <c r="AT16" s="88" t="s">
        <v>51</v>
      </c>
      <c r="AU16" s="88" t="s">
        <v>51</v>
      </c>
      <c r="AV16" s="88" t="s">
        <v>51</v>
      </c>
    </row>
    <row r="17" spans="1:48" x14ac:dyDescent="0.3">
      <c r="A17" s="25" t="s">
        <v>389</v>
      </c>
      <c r="B17" s="59" t="s">
        <v>388</v>
      </c>
      <c r="C17" s="25" t="s">
        <v>390</v>
      </c>
      <c r="D17" s="21" t="s">
        <v>385</v>
      </c>
      <c r="E17" s="21"/>
      <c r="F17" s="23">
        <v>1029.8375906306062</v>
      </c>
      <c r="G17" s="81">
        <v>8.9846328522402708E-4</v>
      </c>
      <c r="H17" s="81">
        <v>2.2911821082540529E-2</v>
      </c>
      <c r="I17"/>
      <c r="J17" s="82">
        <v>56.631562639586498</v>
      </c>
      <c r="K17" s="82">
        <v>20.566917018082023</v>
      </c>
      <c r="L17" s="82">
        <v>740.9136146016192</v>
      </c>
      <c r="M17" s="82" t="s">
        <v>51</v>
      </c>
      <c r="N17" s="83">
        <v>66.729237379217821</v>
      </c>
      <c r="O17" s="83">
        <v>27.759362749754619</v>
      </c>
      <c r="P17" s="83">
        <v>18.072501790204829</v>
      </c>
      <c r="Q17" s="84"/>
      <c r="R17" s="84" t="s">
        <v>51</v>
      </c>
      <c r="S17" s="84">
        <v>23.46896794665442</v>
      </c>
      <c r="T17" s="84">
        <v>85.299345229286914</v>
      </c>
      <c r="U17" s="84">
        <v>33.285912979353327</v>
      </c>
      <c r="V17" s="85">
        <v>18.055846060401681</v>
      </c>
      <c r="W17" s="85">
        <v>68.643151654155687</v>
      </c>
      <c r="X17" s="85" t="s">
        <v>51</v>
      </c>
      <c r="Y17" s="84"/>
      <c r="Z17" s="84" t="s">
        <v>51</v>
      </c>
      <c r="AA17" s="84">
        <v>21.026144327861967</v>
      </c>
      <c r="AB17" s="84">
        <v>67.052815733468989</v>
      </c>
      <c r="AC17" s="84">
        <v>29.810735739097517</v>
      </c>
      <c r="AD17" s="85">
        <v>15.265882468489337</v>
      </c>
      <c r="AE17" s="85">
        <v>22.221888949568985</v>
      </c>
      <c r="AF17" s="85">
        <v>84.53959518488908</v>
      </c>
      <c r="AG17" s="84"/>
      <c r="AH17" s="86">
        <v>0.17736620956658833</v>
      </c>
      <c r="AI17" s="86">
        <v>9.5707781052371252E-2</v>
      </c>
      <c r="AJ17" s="86">
        <v>2.63370903640406E-3</v>
      </c>
      <c r="AK17" s="86">
        <v>-3.395567832673449E-2</v>
      </c>
      <c r="AL17" s="87">
        <v>1.5550000000000001E-2</v>
      </c>
      <c r="AM17" s="87">
        <v>3.6499999999999998E-2</v>
      </c>
      <c r="AN17" s="87">
        <v>5.28E-2</v>
      </c>
      <c r="AO17" s="84"/>
      <c r="AP17" s="81">
        <v>5.5419188001020721E-3</v>
      </c>
      <c r="AQ17" s="81">
        <v>1.2580321078950024E-2</v>
      </c>
      <c r="AR17" s="81">
        <v>7.4172101716465325E-4</v>
      </c>
      <c r="AS17" s="81" t="s">
        <v>51</v>
      </c>
      <c r="AT17" s="88" t="s">
        <v>51</v>
      </c>
      <c r="AU17" s="88" t="s">
        <v>51</v>
      </c>
      <c r="AV17" s="88" t="s">
        <v>51</v>
      </c>
    </row>
    <row r="18" spans="1:48" x14ac:dyDescent="0.3">
      <c r="A18" s="25" t="s">
        <v>392</v>
      </c>
      <c r="B18" s="59" t="s">
        <v>391</v>
      </c>
      <c r="C18" s="25" t="s">
        <v>357</v>
      </c>
      <c r="D18" s="21" t="s">
        <v>385</v>
      </c>
      <c r="E18" s="21"/>
      <c r="F18" s="23">
        <v>1412.9996965096996</v>
      </c>
      <c r="G18" s="81">
        <v>1.3212798291110106E-2</v>
      </c>
      <c r="H18" s="81">
        <v>0.33766059312084762</v>
      </c>
      <c r="I18"/>
      <c r="J18" s="82">
        <v>131.80435568298327</v>
      </c>
      <c r="K18" s="82" t="s">
        <v>51</v>
      </c>
      <c r="L18" s="82" t="s">
        <v>51</v>
      </c>
      <c r="M18" s="82" t="s">
        <v>51</v>
      </c>
      <c r="N18" s="83" t="s">
        <v>51</v>
      </c>
      <c r="O18" s="83" t="s">
        <v>51</v>
      </c>
      <c r="P18" s="83" t="s">
        <v>51</v>
      </c>
      <c r="Q18" s="84"/>
      <c r="R18" s="84">
        <v>73.120468345518148</v>
      </c>
      <c r="S18" s="84" t="s">
        <v>51</v>
      </c>
      <c r="T18" s="84" t="s">
        <v>51</v>
      </c>
      <c r="U18" s="84">
        <v>63.659272950462316</v>
      </c>
      <c r="V18" s="85" t="s">
        <v>51</v>
      </c>
      <c r="W18" s="85" t="s">
        <v>51</v>
      </c>
      <c r="X18" s="85" t="s">
        <v>51</v>
      </c>
      <c r="Y18" s="84"/>
      <c r="Z18" s="84">
        <v>25.943592841685739</v>
      </c>
      <c r="AA18" s="84">
        <v>29.869943677598268</v>
      </c>
      <c r="AB18" s="84">
        <v>55.671447762493948</v>
      </c>
      <c r="AC18" s="84">
        <v>27.770354158934605</v>
      </c>
      <c r="AD18" s="85" t="s">
        <v>51</v>
      </c>
      <c r="AE18" s="85">
        <v>52.938173487932467</v>
      </c>
      <c r="AF18" s="85">
        <v>106.30461501234012</v>
      </c>
      <c r="AG18" s="84"/>
      <c r="AH18" s="86">
        <v>1.1584470685718752E-2</v>
      </c>
      <c r="AI18" s="86">
        <v>-0.10098728548933054</v>
      </c>
      <c r="AJ18" s="86">
        <v>-1.7752051031789735E-2</v>
      </c>
      <c r="AK18" s="86">
        <v>-1.5876940485651057E-2</v>
      </c>
      <c r="AL18" s="87" t="s">
        <v>51</v>
      </c>
      <c r="AM18" s="87" t="s">
        <v>51</v>
      </c>
      <c r="AN18" s="87" t="s">
        <v>51</v>
      </c>
      <c r="AO18" s="84"/>
      <c r="AP18" s="81" t="s">
        <v>51</v>
      </c>
      <c r="AQ18" s="81" t="s">
        <v>51</v>
      </c>
      <c r="AR18" s="81" t="s">
        <v>51</v>
      </c>
      <c r="AS18" s="81" t="s">
        <v>51</v>
      </c>
      <c r="AT18" s="88" t="s">
        <v>51</v>
      </c>
      <c r="AU18" s="88" t="s">
        <v>51</v>
      </c>
      <c r="AV18" s="88" t="s">
        <v>51</v>
      </c>
    </row>
    <row r="19" spans="1:48" x14ac:dyDescent="0.3">
      <c r="A19" s="25" t="s">
        <v>394</v>
      </c>
      <c r="B19" s="59" t="s">
        <v>393</v>
      </c>
      <c r="C19" s="25" t="s">
        <v>357</v>
      </c>
      <c r="D19" s="21" t="s">
        <v>395</v>
      </c>
      <c r="E19" s="21"/>
      <c r="F19" s="23">
        <v>4132.1274184982376</v>
      </c>
      <c r="G19" s="81">
        <v>4.7592646708200848E-2</v>
      </c>
      <c r="H19" s="81">
        <v>6.9361738336853218E-2</v>
      </c>
      <c r="I19"/>
      <c r="J19" s="82">
        <v>5.0617182618044199</v>
      </c>
      <c r="K19" s="82">
        <v>8.1177129105158841</v>
      </c>
      <c r="L19" s="82">
        <v>44.730235142275085</v>
      </c>
      <c r="M19" s="82">
        <v>5.5610784486322009</v>
      </c>
      <c r="N19" s="83">
        <v>10.936586864887675</v>
      </c>
      <c r="O19" s="83">
        <v>12.770467540323025</v>
      </c>
      <c r="P19" s="83">
        <v>9.721254250553228</v>
      </c>
      <c r="Q19" s="84"/>
      <c r="R19" s="84">
        <v>13.557618675069724</v>
      </c>
      <c r="S19" s="84">
        <v>6.4127656863325502</v>
      </c>
      <c r="T19" s="84">
        <v>6.906689517874959</v>
      </c>
      <c r="U19" s="84">
        <v>4.0803988971604399</v>
      </c>
      <c r="V19" s="85">
        <v>6.7281884946950825</v>
      </c>
      <c r="W19" s="85">
        <v>18.352908713224949</v>
      </c>
      <c r="X19" s="85">
        <v>4.3099175406489802</v>
      </c>
      <c r="Y19" s="84"/>
      <c r="Z19" s="84">
        <v>7.9632797445975116</v>
      </c>
      <c r="AA19" s="84">
        <v>4.6086306892164046</v>
      </c>
      <c r="AB19" s="84">
        <v>4.808366343509813</v>
      </c>
      <c r="AC19" s="84">
        <v>3.3838876327159388</v>
      </c>
      <c r="AD19" s="85">
        <v>5.0798938300554841</v>
      </c>
      <c r="AE19" s="85">
        <v>8.2095273533040949</v>
      </c>
      <c r="AF19" s="85">
        <v>3.4041447734807182</v>
      </c>
      <c r="AG19" s="84"/>
      <c r="AH19" s="86">
        <v>0.21878204370939161</v>
      </c>
      <c r="AI19" s="86">
        <v>0.11674786059779238</v>
      </c>
      <c r="AJ19" s="86">
        <v>3.2992561599256162E-2</v>
      </c>
      <c r="AK19" s="86">
        <v>0.13464064898048675</v>
      </c>
      <c r="AL19" s="87">
        <v>1.0908792909411425E-2</v>
      </c>
      <c r="AM19" s="87">
        <v>1.2352223669542181E-2</v>
      </c>
      <c r="AN19" s="87">
        <v>1.6371105553662835E-2</v>
      </c>
      <c r="AO19" s="84"/>
      <c r="AP19" s="81">
        <v>1.7952752140380824E-2</v>
      </c>
      <c r="AQ19" s="81">
        <v>2.2186304186984675E-2</v>
      </c>
      <c r="AR19" s="81">
        <v>1.8794452565212651E-2</v>
      </c>
      <c r="AS19" s="81" t="s">
        <v>51</v>
      </c>
      <c r="AT19" s="88">
        <v>1.6551271171213449E-2</v>
      </c>
      <c r="AU19" s="88">
        <v>1.7621286819049446E-2</v>
      </c>
      <c r="AV19" s="88">
        <v>1.9901512774228615E-2</v>
      </c>
    </row>
    <row r="20" spans="1:48" x14ac:dyDescent="0.3">
      <c r="A20" s="25" t="s">
        <v>397</v>
      </c>
      <c r="B20" s="59" t="s">
        <v>396</v>
      </c>
      <c r="C20" s="25" t="s">
        <v>357</v>
      </c>
      <c r="D20" s="21" t="s">
        <v>385</v>
      </c>
      <c r="E20" s="21"/>
      <c r="F20" s="23">
        <v>1451.8025984619353</v>
      </c>
      <c r="G20" s="81">
        <v>5.5560732430746773E-2</v>
      </c>
      <c r="H20" s="81">
        <v>4.017699429970123E-2</v>
      </c>
      <c r="I20"/>
      <c r="J20" s="82">
        <v>16.665918991201078</v>
      </c>
      <c r="K20" s="82">
        <v>28.059946558260584</v>
      </c>
      <c r="L20" s="82">
        <v>17.741878893762244</v>
      </c>
      <c r="M20" s="82">
        <v>19.584415273081692</v>
      </c>
      <c r="N20" s="83">
        <v>17.438726052799289</v>
      </c>
      <c r="O20" s="83">
        <v>14.019368003230801</v>
      </c>
      <c r="P20" s="83">
        <v>11.721110953520833</v>
      </c>
      <c r="Q20" s="84"/>
      <c r="R20" s="84" t="s">
        <v>51</v>
      </c>
      <c r="S20" s="84" t="s">
        <v>51</v>
      </c>
      <c r="T20" s="84">
        <v>16.353777985592853</v>
      </c>
      <c r="U20" s="84">
        <v>12.990092638145883</v>
      </c>
      <c r="V20" s="85">
        <v>20.864707888296596</v>
      </c>
      <c r="W20" s="85">
        <v>16.998725646523138</v>
      </c>
      <c r="X20" s="85">
        <v>15.602809044608678</v>
      </c>
      <c r="Y20" s="84"/>
      <c r="Z20" s="84" t="s">
        <v>51</v>
      </c>
      <c r="AA20" s="84" t="s">
        <v>51</v>
      </c>
      <c r="AB20" s="84">
        <v>12.750495598952734</v>
      </c>
      <c r="AC20" s="84">
        <v>10.299398079377001</v>
      </c>
      <c r="AD20" s="85">
        <v>12.914334032590123</v>
      </c>
      <c r="AE20" s="85">
        <v>11.435120527595648</v>
      </c>
      <c r="AF20" s="85">
        <v>10.679105956212002</v>
      </c>
      <c r="AG20" s="84"/>
      <c r="AH20" s="86">
        <v>0.10436295064058593</v>
      </c>
      <c r="AI20" s="86">
        <v>5.583664951352825E-2</v>
      </c>
      <c r="AJ20" s="86">
        <v>6.6637483224816968E-2</v>
      </c>
      <c r="AK20" s="86">
        <v>5.5664297485442153E-2</v>
      </c>
      <c r="AL20" s="87">
        <v>7.0000000000000007E-2</v>
      </c>
      <c r="AM20" s="87">
        <v>8.199999999999999E-2</v>
      </c>
      <c r="AN20" s="87">
        <v>9.0999999999999998E-2</v>
      </c>
      <c r="AO20" s="84"/>
      <c r="AP20" s="81">
        <v>1.2532818547677163E-2</v>
      </c>
      <c r="AQ20" s="81">
        <v>1.3809761548029235E-2</v>
      </c>
      <c r="AR20" s="81">
        <v>1.7775010018433287E-2</v>
      </c>
      <c r="AS20" s="81">
        <v>1.8902383581711649E-2</v>
      </c>
      <c r="AT20" s="88">
        <v>1.6798238125908558E-2</v>
      </c>
      <c r="AU20" s="88">
        <v>2.09977976573857E-2</v>
      </c>
      <c r="AV20" s="88">
        <v>2.5197357188862839E-2</v>
      </c>
    </row>
    <row r="21" spans="1:48" x14ac:dyDescent="0.3">
      <c r="A21" s="25" t="s">
        <v>399</v>
      </c>
      <c r="B21" s="59" t="s">
        <v>398</v>
      </c>
      <c r="C21" s="25" t="s">
        <v>365</v>
      </c>
      <c r="D21" s="21" t="s">
        <v>360</v>
      </c>
      <c r="E21" s="21"/>
      <c r="F21" s="23">
        <v>1221.3998351534419</v>
      </c>
      <c r="G21" s="81">
        <v>-8.0724979611663472E-2</v>
      </c>
      <c r="H21" s="81">
        <v>-0.19236205128415995</v>
      </c>
      <c r="I21"/>
      <c r="J21" s="82" t="s">
        <v>51</v>
      </c>
      <c r="K21" s="82" t="s">
        <v>51</v>
      </c>
      <c r="L21" s="82" t="s">
        <v>51</v>
      </c>
      <c r="M21" s="82" t="s">
        <v>51</v>
      </c>
      <c r="N21" s="83" t="s">
        <v>51</v>
      </c>
      <c r="O21" s="83">
        <v>30.392616582903848</v>
      </c>
      <c r="P21" s="83">
        <v>17.656123816587307</v>
      </c>
      <c r="Q21" s="84"/>
      <c r="R21" s="84" t="s">
        <v>51</v>
      </c>
      <c r="S21" s="84" t="s">
        <v>51</v>
      </c>
      <c r="T21" s="84" t="s">
        <v>51</v>
      </c>
      <c r="U21" s="84" t="s">
        <v>51</v>
      </c>
      <c r="V21" s="85" t="s">
        <v>51</v>
      </c>
      <c r="W21" s="85" t="s">
        <v>51</v>
      </c>
      <c r="X21" s="85" t="s">
        <v>51</v>
      </c>
      <c r="Y21" s="84"/>
      <c r="Z21" s="84" t="s">
        <v>51</v>
      </c>
      <c r="AA21" s="84" t="s">
        <v>51</v>
      </c>
      <c r="AB21" s="84" t="s">
        <v>51</v>
      </c>
      <c r="AC21" s="84" t="s">
        <v>51</v>
      </c>
      <c r="AD21" s="85" t="s">
        <v>51</v>
      </c>
      <c r="AE21" s="85" t="s">
        <v>51</v>
      </c>
      <c r="AF21" s="85" t="s">
        <v>51</v>
      </c>
      <c r="AG21" s="84"/>
      <c r="AH21" s="86">
        <v>-4.3307427441683401E-2</v>
      </c>
      <c r="AI21" s="86">
        <v>-5.6243822833107304E-2</v>
      </c>
      <c r="AJ21" s="86">
        <v>-4.21920150148197E-2</v>
      </c>
      <c r="AK21" s="86">
        <v>-3.0108748191385332E-2</v>
      </c>
      <c r="AL21" s="87" t="s">
        <v>51</v>
      </c>
      <c r="AM21" s="87" t="s">
        <v>51</v>
      </c>
      <c r="AN21" s="87" t="s">
        <v>51</v>
      </c>
      <c r="AO21" s="84"/>
      <c r="AP21" s="81" t="s">
        <v>51</v>
      </c>
      <c r="AQ21" s="81" t="s">
        <v>51</v>
      </c>
      <c r="AR21" s="81" t="s">
        <v>51</v>
      </c>
      <c r="AS21" s="81" t="s">
        <v>51</v>
      </c>
      <c r="AT21" s="88" t="s">
        <v>51</v>
      </c>
      <c r="AU21" s="88" t="s">
        <v>51</v>
      </c>
      <c r="AV21" s="88" t="s">
        <v>51</v>
      </c>
    </row>
    <row r="22" spans="1:48" x14ac:dyDescent="0.3">
      <c r="A22" s="25" t="s">
        <v>401</v>
      </c>
      <c r="B22" s="59" t="s">
        <v>400</v>
      </c>
      <c r="C22" s="25" t="s">
        <v>357</v>
      </c>
      <c r="D22" s="21" t="s">
        <v>402</v>
      </c>
      <c r="E22" s="21"/>
      <c r="F22" s="23">
        <v>24313.872310816365</v>
      </c>
      <c r="G22" s="81">
        <v>2.0727754942789112E-2</v>
      </c>
      <c r="H22" s="81">
        <v>0.15351129398212526</v>
      </c>
      <c r="I22"/>
      <c r="J22" s="82">
        <v>13.616649028842351</v>
      </c>
      <c r="K22" s="82">
        <v>11.903917239341999</v>
      </c>
      <c r="L22" s="82">
        <v>24.75140410840271</v>
      </c>
      <c r="M22" s="82">
        <v>23.150761565372733</v>
      </c>
      <c r="N22" s="83">
        <v>28.89593927970153</v>
      </c>
      <c r="O22" s="83">
        <v>24.21708972429817</v>
      </c>
      <c r="P22" s="83">
        <v>19.647421355525363</v>
      </c>
      <c r="Q22" s="84"/>
      <c r="R22" s="84">
        <v>11.380174459805314</v>
      </c>
      <c r="S22" s="84">
        <v>8.1145945240098651</v>
      </c>
      <c r="T22" s="84">
        <v>17.146821570198266</v>
      </c>
      <c r="U22" s="84">
        <v>6.1664137778788337</v>
      </c>
      <c r="V22" s="85">
        <v>14.986074365027916</v>
      </c>
      <c r="W22" s="85">
        <v>14.796212491694638</v>
      </c>
      <c r="X22" s="85">
        <v>13.935945606856871</v>
      </c>
      <c r="Y22" s="84"/>
      <c r="Z22" s="84">
        <v>7.2696911177573718</v>
      </c>
      <c r="AA22" s="84">
        <v>4.874922119616075</v>
      </c>
      <c r="AB22" s="84">
        <v>10.122927276746086</v>
      </c>
      <c r="AC22" s="84">
        <v>4.6816901015774341</v>
      </c>
      <c r="AD22" s="85">
        <v>8.8245807216131453</v>
      </c>
      <c r="AE22" s="85">
        <v>8.8102226479386783</v>
      </c>
      <c r="AF22" s="85">
        <v>7.8165073348906553</v>
      </c>
      <c r="AG22" s="84"/>
      <c r="AH22" s="86">
        <v>0.1602653284308854</v>
      </c>
      <c r="AI22" s="86">
        <v>0.18058983254504432</v>
      </c>
      <c r="AJ22" s="86">
        <v>9.5008930907767047E-2</v>
      </c>
      <c r="AK22" s="86">
        <v>9.0083142809043087E-2</v>
      </c>
      <c r="AL22" s="87">
        <v>3.585327911591734E-2</v>
      </c>
      <c r="AM22" s="87">
        <v>4.2953349040637884E-2</v>
      </c>
      <c r="AN22" s="87">
        <v>6.1465013494231772E-2</v>
      </c>
      <c r="AO22" s="84"/>
      <c r="AP22" s="81">
        <v>7.8657154026853013E-2</v>
      </c>
      <c r="AQ22" s="81">
        <v>3.1929472341669526E-2</v>
      </c>
      <c r="AR22" s="81">
        <v>1.679460227081217E-2</v>
      </c>
      <c r="AS22" s="81">
        <v>1.5774764496330359E-2</v>
      </c>
      <c r="AT22" s="88">
        <v>1.4210788573786265E-2</v>
      </c>
      <c r="AU22" s="88">
        <v>1.7719077002939752E-2</v>
      </c>
      <c r="AV22" s="88">
        <v>2.3809676276261453E-2</v>
      </c>
    </row>
    <row r="23" spans="1:48" x14ac:dyDescent="0.3">
      <c r="A23" s="25" t="s">
        <v>404</v>
      </c>
      <c r="B23" s="59" t="s">
        <v>403</v>
      </c>
      <c r="C23" s="25" t="s">
        <v>357</v>
      </c>
      <c r="D23" s="21" t="s">
        <v>312</v>
      </c>
      <c r="E23" s="21"/>
      <c r="F23" s="23">
        <v>14002.24048</v>
      </c>
      <c r="G23" s="81">
        <v>1.2658227848100889E-2</v>
      </c>
      <c r="H23" s="81">
        <v>-1.4163079151602309E-2</v>
      </c>
      <c r="I23"/>
      <c r="J23" s="82">
        <v>10.93798430253824</v>
      </c>
      <c r="K23" s="82">
        <v>11.266029518509558</v>
      </c>
      <c r="L23" s="82">
        <v>15.452417139059055</v>
      </c>
      <c r="M23" s="82">
        <v>14.889025544373139</v>
      </c>
      <c r="N23" s="83">
        <v>15.267175572519083</v>
      </c>
      <c r="O23" s="83">
        <v>15.09433962264151</v>
      </c>
      <c r="P23" s="83">
        <v>15.15151515151515</v>
      </c>
      <c r="Q23" s="84"/>
      <c r="R23" s="84">
        <v>10.572429263772104</v>
      </c>
      <c r="S23" s="84">
        <v>8.7154135611708803</v>
      </c>
      <c r="T23" s="84">
        <v>13.052351147863201</v>
      </c>
      <c r="U23" s="84">
        <v>7.5320881806346049</v>
      </c>
      <c r="V23" s="85">
        <v>6.6511085525254838</v>
      </c>
      <c r="W23" s="85">
        <v>10.340071903239011</v>
      </c>
      <c r="X23" s="85">
        <v>8.8779375495625032</v>
      </c>
      <c r="Y23" s="84"/>
      <c r="Z23" s="84">
        <v>6.5593960895365582</v>
      </c>
      <c r="AA23" s="84">
        <v>5.1920998979898698</v>
      </c>
      <c r="AB23" s="84">
        <v>7.219370326366227</v>
      </c>
      <c r="AC23" s="84">
        <v>6.0191038993902719</v>
      </c>
      <c r="AD23" s="85">
        <v>4.9125297218188564</v>
      </c>
      <c r="AE23" s="85">
        <v>7.357510671448134</v>
      </c>
      <c r="AF23" s="85">
        <v>6.3684944273928892</v>
      </c>
      <c r="AG23" s="84"/>
      <c r="AH23" s="86">
        <v>0.20259142445708481</v>
      </c>
      <c r="AI23" s="86">
        <v>0.14483043421677763</v>
      </c>
      <c r="AJ23" s="86">
        <v>0.11685802990908734</v>
      </c>
      <c r="AK23" s="86">
        <v>0.14159046080325116</v>
      </c>
      <c r="AL23" s="87">
        <v>0.13720000000000002</v>
      </c>
      <c r="AM23" s="87">
        <v>0.13730000000000001</v>
      </c>
      <c r="AN23" s="87">
        <v>0.1366</v>
      </c>
      <c r="AO23" s="84"/>
      <c r="AP23" s="81">
        <v>5.3711522965350526E-2</v>
      </c>
      <c r="AQ23" s="81">
        <v>2.3965469798657716E-2</v>
      </c>
      <c r="AR23" s="81">
        <v>5.0872465753424662E-2</v>
      </c>
      <c r="AS23" s="81">
        <v>4.9132186732186729E-2</v>
      </c>
      <c r="AT23" s="88">
        <v>5.475E-2</v>
      </c>
      <c r="AU23" s="88">
        <v>0.06</v>
      </c>
      <c r="AV23" s="88">
        <v>6.6250000000000003E-2</v>
      </c>
    </row>
    <row r="24" spans="1:48" x14ac:dyDescent="0.3">
      <c r="A24" s="25" t="s">
        <v>406</v>
      </c>
      <c r="B24" s="59" t="s">
        <v>405</v>
      </c>
      <c r="C24" s="25" t="s">
        <v>407</v>
      </c>
      <c r="D24" s="21" t="s">
        <v>385</v>
      </c>
      <c r="E24" s="21"/>
      <c r="F24" s="23">
        <v>3293.608142209408</v>
      </c>
      <c r="G24" s="81">
        <v>3.5952865044801552E-3</v>
      </c>
      <c r="H24" s="81">
        <v>0.24348907630797956</v>
      </c>
      <c r="I24"/>
      <c r="J24" s="82">
        <v>131.89479928846649</v>
      </c>
      <c r="K24" s="82">
        <v>37.85382994484582</v>
      </c>
      <c r="L24" s="82">
        <v>40.34900426095804</v>
      </c>
      <c r="M24" s="82">
        <v>31.888440453222337</v>
      </c>
      <c r="N24" s="83">
        <v>33.901276724664342</v>
      </c>
      <c r="O24" s="83">
        <v>26.869187714558191</v>
      </c>
      <c r="P24" s="83">
        <v>21.061461011399874</v>
      </c>
      <c r="Q24" s="84"/>
      <c r="R24" s="84" t="s">
        <v>51</v>
      </c>
      <c r="S24" s="84">
        <v>113.43408762243985</v>
      </c>
      <c r="T24" s="84">
        <v>58.132043841513763</v>
      </c>
      <c r="U24" s="84">
        <v>94.755572508048573</v>
      </c>
      <c r="V24" s="85">
        <v>54.557788585680065</v>
      </c>
      <c r="W24" s="85">
        <v>30.552458201794291</v>
      </c>
      <c r="X24" s="85">
        <v>39.155456111079744</v>
      </c>
      <c r="Y24" s="84"/>
      <c r="Z24" s="84" t="s">
        <v>51</v>
      </c>
      <c r="AA24" s="84">
        <v>100.31542082061226</v>
      </c>
      <c r="AB24" s="84">
        <v>54.857538890383651</v>
      </c>
      <c r="AC24" s="84">
        <v>73.119310661404796</v>
      </c>
      <c r="AD24" s="85">
        <v>44.789521177125494</v>
      </c>
      <c r="AE24" s="85">
        <v>25.436778996371029</v>
      </c>
      <c r="AF24" s="85">
        <v>32.325695845663581</v>
      </c>
      <c r="AG24" s="84"/>
      <c r="AH24" s="86">
        <v>0.11122213086486743</v>
      </c>
      <c r="AI24" s="86">
        <v>0.22142414087837817</v>
      </c>
      <c r="AJ24" s="86">
        <v>0.22094267909732243</v>
      </c>
      <c r="AK24" s="86">
        <v>0.22119935594496792</v>
      </c>
      <c r="AL24" s="87">
        <v>0.22227225153856575</v>
      </c>
      <c r="AM24" s="87">
        <v>0.22236220968697637</v>
      </c>
      <c r="AN24" s="87">
        <v>0.21839028977371197</v>
      </c>
      <c r="AO24" s="84"/>
      <c r="AP24" s="81">
        <v>1.1507531232374877E-3</v>
      </c>
      <c r="AQ24" s="81">
        <v>2.3936920016584006E-3</v>
      </c>
      <c r="AR24" s="81">
        <v>2.1969353112313095E-3</v>
      </c>
      <c r="AS24" s="81">
        <v>3.2737859050102048E-3</v>
      </c>
      <c r="AT24" s="88">
        <v>2.5795016149680037E-3</v>
      </c>
      <c r="AU24" s="88">
        <v>3.1971287622138628E-3</v>
      </c>
      <c r="AV24" s="88">
        <v>4.9591826822976415E-3</v>
      </c>
    </row>
    <row r="25" spans="1:48" x14ac:dyDescent="0.3">
      <c r="A25" s="25" t="s">
        <v>409</v>
      </c>
      <c r="B25" s="59" t="s">
        <v>408</v>
      </c>
      <c r="C25" s="25" t="s">
        <v>357</v>
      </c>
      <c r="D25" s="21" t="s">
        <v>312</v>
      </c>
      <c r="E25" s="21"/>
      <c r="F25" s="23">
        <v>59142.726856833535</v>
      </c>
      <c r="G25" s="81">
        <v>5.2927647792783805E-2</v>
      </c>
      <c r="H25" s="81">
        <v>-1.3305380526650534E-2</v>
      </c>
      <c r="I25"/>
      <c r="J25" s="82">
        <v>14.097715784914733</v>
      </c>
      <c r="K25" s="82">
        <v>15.913350966442929</v>
      </c>
      <c r="L25" s="82">
        <v>27.670006090391286</v>
      </c>
      <c r="M25" s="82">
        <v>22.01464019822426</v>
      </c>
      <c r="N25" s="83">
        <v>25.485993674213027</v>
      </c>
      <c r="O25" s="83">
        <v>19.134751914853016</v>
      </c>
      <c r="P25" s="83">
        <v>16.401707091677409</v>
      </c>
      <c r="Q25" s="84"/>
      <c r="R25" s="84">
        <v>6.4204165344551951</v>
      </c>
      <c r="S25" s="84">
        <v>30.771252859120075</v>
      </c>
      <c r="T25" s="84">
        <v>22.165767768243743</v>
      </c>
      <c r="U25" s="84">
        <v>8.0293374635285684</v>
      </c>
      <c r="V25" s="85">
        <v>11.195938636953247</v>
      </c>
      <c r="W25" s="85">
        <v>11.673827491032931</v>
      </c>
      <c r="X25" s="85">
        <v>10.538128909527972</v>
      </c>
      <c r="Y25" s="84"/>
      <c r="Z25" s="84">
        <v>4.6900215434542103</v>
      </c>
      <c r="AA25" s="84">
        <v>13.12409572685692</v>
      </c>
      <c r="AB25" s="84">
        <v>13.480902433543799</v>
      </c>
      <c r="AC25" s="84">
        <v>6.4552601595118198</v>
      </c>
      <c r="AD25" s="85">
        <v>8.6558800470490009</v>
      </c>
      <c r="AE25" s="85">
        <v>8.7123337887159806</v>
      </c>
      <c r="AF25" s="85">
        <v>7.9061883085583124</v>
      </c>
      <c r="AG25" s="84"/>
      <c r="AH25" s="86">
        <v>0.35654549971019295</v>
      </c>
      <c r="AI25" s="86">
        <v>0.23484002031488069</v>
      </c>
      <c r="AJ25" s="86">
        <v>0.11461175886876704</v>
      </c>
      <c r="AK25" s="86">
        <v>0.11022932835385424</v>
      </c>
      <c r="AL25" s="87">
        <v>0.11260393999527549</v>
      </c>
      <c r="AM25" s="87">
        <v>0.13043909256113412</v>
      </c>
      <c r="AN25" s="87">
        <v>0.09</v>
      </c>
      <c r="AO25" s="84"/>
      <c r="AP25" s="81">
        <v>8.9863407620416978E-3</v>
      </c>
      <c r="AQ25" s="81">
        <v>1.5789473684210527E-2</v>
      </c>
      <c r="AR25" s="81">
        <v>1.4094432699083861E-2</v>
      </c>
      <c r="AS25" s="81">
        <v>1.5756302521008403E-2</v>
      </c>
      <c r="AT25" s="88">
        <v>1.4586368679340945E-2</v>
      </c>
      <c r="AU25" s="88">
        <v>1.4586368679340945E-2</v>
      </c>
      <c r="AV25" s="88">
        <v>1.6446642113977911E-2</v>
      </c>
    </row>
    <row r="26" spans="1:48" x14ac:dyDescent="0.3">
      <c r="A26" s="25" t="s">
        <v>411</v>
      </c>
      <c r="B26" s="59" t="s">
        <v>410</v>
      </c>
      <c r="C26" s="25" t="s">
        <v>365</v>
      </c>
      <c r="D26" s="21" t="s">
        <v>412</v>
      </c>
      <c r="E26" s="21"/>
      <c r="F26" s="23">
        <v>1070.8396830897193</v>
      </c>
      <c r="G26" s="81">
        <v>3.3291660425776914E-2</v>
      </c>
      <c r="H26" s="81">
        <v>7.7271947787006523E-2</v>
      </c>
      <c r="I26"/>
      <c r="J26" s="82" t="s">
        <v>51</v>
      </c>
      <c r="K26" s="82">
        <v>16.25911512559416</v>
      </c>
      <c r="L26" s="82" t="s">
        <v>51</v>
      </c>
      <c r="M26" s="82" t="s">
        <v>51</v>
      </c>
      <c r="N26" s="83" t="s">
        <v>51</v>
      </c>
      <c r="O26" s="83" t="s">
        <v>51</v>
      </c>
      <c r="P26" s="83" t="s">
        <v>51</v>
      </c>
      <c r="Q26" s="84"/>
      <c r="R26" s="84">
        <v>208.06595417206594</v>
      </c>
      <c r="S26" s="84" t="s">
        <v>51</v>
      </c>
      <c r="T26" s="84" t="s">
        <v>51</v>
      </c>
      <c r="U26" s="84">
        <v>31.38370780460837</v>
      </c>
      <c r="V26" s="85">
        <v>15.52190748778329</v>
      </c>
      <c r="W26" s="85" t="s">
        <v>51</v>
      </c>
      <c r="X26" s="85">
        <v>17.556555268973256</v>
      </c>
      <c r="Y26" s="84"/>
      <c r="Z26" s="84">
        <v>8.634103167265911</v>
      </c>
      <c r="AA26" s="84">
        <v>104.60903872051283</v>
      </c>
      <c r="AB26" s="84">
        <v>33.515113757654099</v>
      </c>
      <c r="AC26" s="84">
        <v>11.507524326825152</v>
      </c>
      <c r="AD26" s="85">
        <v>7.9622439253399202</v>
      </c>
      <c r="AE26" s="85">
        <v>21.058616403791962</v>
      </c>
      <c r="AF26" s="85">
        <v>8.8336327958202023</v>
      </c>
      <c r="AG26" s="84"/>
      <c r="AH26" s="86">
        <v>-0.16320375646743357</v>
      </c>
      <c r="AI26" s="86">
        <v>0.10145601493341182</v>
      </c>
      <c r="AJ26" s="86">
        <v>-0.11082980832113749</v>
      </c>
      <c r="AK26" s="86">
        <v>-0.15112229116187303</v>
      </c>
      <c r="AL26" s="87" t="s">
        <v>51</v>
      </c>
      <c r="AM26" s="87" t="s">
        <v>51</v>
      </c>
      <c r="AN26" s="87" t="s">
        <v>51</v>
      </c>
      <c r="AO26" s="84"/>
      <c r="AP26" s="81" t="s">
        <v>51</v>
      </c>
      <c r="AQ26" s="81" t="s">
        <v>51</v>
      </c>
      <c r="AR26" s="81" t="s">
        <v>51</v>
      </c>
      <c r="AS26" s="81" t="s">
        <v>51</v>
      </c>
      <c r="AT26" s="88" t="s">
        <v>51</v>
      </c>
      <c r="AU26" s="88" t="s">
        <v>51</v>
      </c>
      <c r="AV26" s="88" t="s">
        <v>51</v>
      </c>
    </row>
    <row r="27" spans="1:48" x14ac:dyDescent="0.3">
      <c r="A27" s="25" t="s">
        <v>414</v>
      </c>
      <c r="B27" s="59" t="s">
        <v>413</v>
      </c>
      <c r="C27" s="25" t="s">
        <v>365</v>
      </c>
      <c r="D27" s="21" t="s">
        <v>415</v>
      </c>
      <c r="E27" s="21"/>
      <c r="F27" s="23">
        <v>3494.0648291544676</v>
      </c>
      <c r="G27" s="81">
        <v>9.6217957048503111E-2</v>
      </c>
      <c r="H27" s="81">
        <v>4.6315361566371394E-3</v>
      </c>
      <c r="I27"/>
      <c r="J27" s="82">
        <v>1.8651625639402694</v>
      </c>
      <c r="K27" s="82">
        <v>1.8327246814225926</v>
      </c>
      <c r="L27" s="82">
        <v>2.7077318890085267</v>
      </c>
      <c r="M27" s="82">
        <v>2.6273158007446824</v>
      </c>
      <c r="N27" s="83" t="s">
        <v>51</v>
      </c>
      <c r="O27" s="83" t="s">
        <v>51</v>
      </c>
      <c r="P27" s="83" t="s">
        <v>51</v>
      </c>
      <c r="Q27" s="84"/>
      <c r="R27" s="84">
        <v>10.158996719063795</v>
      </c>
      <c r="S27" s="84">
        <v>14.34724850086187</v>
      </c>
      <c r="T27" s="84">
        <v>25.50667276963274</v>
      </c>
      <c r="U27" s="84">
        <v>5.007290921537952</v>
      </c>
      <c r="V27" s="85">
        <v>4.086451012094285</v>
      </c>
      <c r="W27" s="85">
        <v>5.4896196583071228</v>
      </c>
      <c r="X27" s="85">
        <v>4.9641383664021657</v>
      </c>
      <c r="Y27" s="84"/>
      <c r="Z27" s="84">
        <v>6.4150728090084908</v>
      </c>
      <c r="AA27" s="84">
        <v>8.5079172308700208</v>
      </c>
      <c r="AB27" s="84">
        <v>14.212635368901529</v>
      </c>
      <c r="AC27" s="84">
        <v>4.3315197041979445</v>
      </c>
      <c r="AD27" s="85">
        <v>3.1469563387684532</v>
      </c>
      <c r="AE27" s="85">
        <v>3.8893812894715514</v>
      </c>
      <c r="AF27" s="85">
        <v>3.4201485575485817</v>
      </c>
      <c r="AG27" s="84"/>
      <c r="AH27" s="86">
        <v>0.44688876016957979</v>
      </c>
      <c r="AI27" s="86">
        <v>0.35881785965554175</v>
      </c>
      <c r="AJ27" s="86">
        <v>0.24064494547482268</v>
      </c>
      <c r="AK27" s="86">
        <v>0.27489323370159047</v>
      </c>
      <c r="AL27" s="87" t="s">
        <v>51</v>
      </c>
      <c r="AM27" s="87" t="s">
        <v>51</v>
      </c>
      <c r="AN27" s="87" t="s">
        <v>51</v>
      </c>
      <c r="AO27" s="84"/>
      <c r="AP27" s="81">
        <v>0.17569117594936709</v>
      </c>
      <c r="AQ27" s="81">
        <v>0.10201406197183099</v>
      </c>
      <c r="AR27" s="81">
        <v>6.5406134663341636E-2</v>
      </c>
      <c r="AS27" s="81">
        <v>0.1228554852320675</v>
      </c>
      <c r="AT27" s="88" t="s">
        <v>51</v>
      </c>
      <c r="AU27" s="88" t="s">
        <v>51</v>
      </c>
      <c r="AV27" s="88" t="s">
        <v>51</v>
      </c>
    </row>
    <row r="28" spans="1:48" x14ac:dyDescent="0.3">
      <c r="A28" s="25" t="s">
        <v>417</v>
      </c>
      <c r="B28" s="59" t="s">
        <v>416</v>
      </c>
      <c r="C28" s="25" t="s">
        <v>357</v>
      </c>
      <c r="D28" s="21" t="s">
        <v>385</v>
      </c>
      <c r="E28" s="21"/>
      <c r="F28" s="23">
        <v>3377.2312392965769</v>
      </c>
      <c r="G28" s="81">
        <v>2.446041355636619E-2</v>
      </c>
      <c r="H28" s="81">
        <v>-5.9523823235107298E-2</v>
      </c>
      <c r="I28"/>
      <c r="J28" s="82">
        <v>28.903126940640117</v>
      </c>
      <c r="K28" s="82">
        <v>10.344374246320653</v>
      </c>
      <c r="L28" s="82">
        <v>10.124038323876588</v>
      </c>
      <c r="M28" s="82">
        <v>19.217845081989719</v>
      </c>
      <c r="N28" s="83">
        <v>16.030579806977073</v>
      </c>
      <c r="O28" s="83">
        <v>11.700776900912528</v>
      </c>
      <c r="P28" s="83">
        <v>10.486863447215551</v>
      </c>
      <c r="Q28" s="84"/>
      <c r="R28" s="84">
        <v>26.338619855323735</v>
      </c>
      <c r="S28" s="84">
        <v>21.593947144105645</v>
      </c>
      <c r="T28" s="84">
        <v>20.911608760724899</v>
      </c>
      <c r="U28" s="84">
        <v>18.365510505245755</v>
      </c>
      <c r="V28" s="85">
        <v>11.163965674529088</v>
      </c>
      <c r="W28" s="85">
        <v>12.412089717845838</v>
      </c>
      <c r="X28" s="85">
        <v>17.505068592256361</v>
      </c>
      <c r="Y28" s="84"/>
      <c r="Z28" s="84">
        <v>15.310142653379257</v>
      </c>
      <c r="AA28" s="84">
        <v>12.590639798935578</v>
      </c>
      <c r="AB28" s="84">
        <v>12.827488111802007</v>
      </c>
      <c r="AC28" s="84">
        <v>10.932563439580445</v>
      </c>
      <c r="AD28" s="85">
        <v>8.2392127157398019</v>
      </c>
      <c r="AE28" s="85">
        <v>8.6324824561984013</v>
      </c>
      <c r="AF28" s="85">
        <v>11.416349510912086</v>
      </c>
      <c r="AG28" s="84"/>
      <c r="AH28" s="86">
        <v>7.437041329200636E-2</v>
      </c>
      <c r="AI28" s="86">
        <v>0.1610462046837777</v>
      </c>
      <c r="AJ28" s="86">
        <v>0.11643607945955806</v>
      </c>
      <c r="AK28" s="86">
        <v>8.808218871321237E-2</v>
      </c>
      <c r="AL28" s="87">
        <v>9.8400000000000001E-2</v>
      </c>
      <c r="AM28" s="87">
        <v>0.12433333333333332</v>
      </c>
      <c r="AN28" s="87">
        <v>0.12556666666666666</v>
      </c>
      <c r="AO28" s="84"/>
      <c r="AP28" s="81">
        <v>1.4742487310451824E-2</v>
      </c>
      <c r="AQ28" s="81">
        <v>3.4923165981642322E-2</v>
      </c>
      <c r="AR28" s="81">
        <v>2.7625532099355681E-2</v>
      </c>
      <c r="AS28" s="81">
        <v>2.2456183940388293E-2</v>
      </c>
      <c r="AT28" s="88">
        <v>1.7878710997418196E-2</v>
      </c>
      <c r="AU28" s="88">
        <v>4.0633434085041352E-2</v>
      </c>
      <c r="AV28" s="88">
        <v>4.5509446175246326E-2</v>
      </c>
    </row>
    <row r="29" spans="1:48" x14ac:dyDescent="0.3">
      <c r="A29" s="25" t="s">
        <v>419</v>
      </c>
      <c r="B29" s="59" t="s">
        <v>418</v>
      </c>
      <c r="C29" s="25" t="s">
        <v>420</v>
      </c>
      <c r="D29" s="21" t="s">
        <v>415</v>
      </c>
      <c r="E29" s="21"/>
      <c r="F29" s="23">
        <v>4194.7705246158657</v>
      </c>
      <c r="G29" s="81">
        <v>0</v>
      </c>
      <c r="H29" s="81">
        <v>0.18484176337561831</v>
      </c>
      <c r="I29"/>
      <c r="J29" s="82">
        <v>12.696892856304123</v>
      </c>
      <c r="K29" s="82">
        <v>16.897501530318138</v>
      </c>
      <c r="L29" s="82">
        <v>133.03769401330379</v>
      </c>
      <c r="M29" s="82">
        <v>8.6147515750608754</v>
      </c>
      <c r="N29" s="83">
        <v>10.808062641801783</v>
      </c>
      <c r="O29" s="83">
        <v>8.2975748089732342</v>
      </c>
      <c r="P29" s="83">
        <v>7.3604605560613843</v>
      </c>
      <c r="Q29" s="84"/>
      <c r="R29" s="84">
        <v>84.277638515869796</v>
      </c>
      <c r="S29" s="84" t="s">
        <v>51</v>
      </c>
      <c r="T29" s="84" t="s">
        <v>51</v>
      </c>
      <c r="U29" s="84" t="s">
        <v>51</v>
      </c>
      <c r="V29" s="85" t="s">
        <v>51</v>
      </c>
      <c r="W29" s="85">
        <v>225.26424450101581</v>
      </c>
      <c r="X29" s="85">
        <v>8.9631746543190918</v>
      </c>
      <c r="Y29" s="84"/>
      <c r="Z29" s="84">
        <v>14.722150955309095</v>
      </c>
      <c r="AA29" s="84">
        <v>23.06224575192304</v>
      </c>
      <c r="AB29" s="84">
        <v>27.904131200758954</v>
      </c>
      <c r="AC29" s="84">
        <v>28.166248215204504</v>
      </c>
      <c r="AD29" s="85">
        <v>20.134187521344625</v>
      </c>
      <c r="AE29" s="85">
        <v>22.560391613271037</v>
      </c>
      <c r="AF29" s="85">
        <v>6.6054765579787356</v>
      </c>
      <c r="AG29" s="84"/>
      <c r="AH29" s="86">
        <v>-0.10571910005752848</v>
      </c>
      <c r="AI29" s="86">
        <v>0.2241139215082415</v>
      </c>
      <c r="AJ29" s="86">
        <v>6.6015938917551396E-3</v>
      </c>
      <c r="AK29" s="86">
        <v>0.12589828472579484</v>
      </c>
      <c r="AL29" s="87">
        <v>8.5500000000000007E-2</v>
      </c>
      <c r="AM29" s="87">
        <v>0.11263999999999999</v>
      </c>
      <c r="AN29" s="87">
        <v>0.11004</v>
      </c>
      <c r="AO29" s="84"/>
      <c r="AP29" s="81" t="s">
        <v>51</v>
      </c>
      <c r="AQ29" s="81">
        <v>1.3665591397849463E-2</v>
      </c>
      <c r="AR29" s="81">
        <v>4.9609999999999993E-3</v>
      </c>
      <c r="AS29" s="81">
        <v>2.1339194117647061E-2</v>
      </c>
      <c r="AT29" s="88">
        <v>1.5113927272727271E-2</v>
      </c>
      <c r="AU29" s="88">
        <v>2.0239519999999997E-2</v>
      </c>
      <c r="AV29" s="88">
        <v>2.0896647272727269E-2</v>
      </c>
    </row>
    <row r="30" spans="1:48" x14ac:dyDescent="0.3">
      <c r="A30" s="25" t="s">
        <v>422</v>
      </c>
      <c r="B30" s="59" t="s">
        <v>421</v>
      </c>
      <c r="C30" s="25" t="s">
        <v>365</v>
      </c>
      <c r="D30" s="21" t="s">
        <v>385</v>
      </c>
      <c r="E30" s="21"/>
      <c r="F30" s="23">
        <v>3322.4883939432298</v>
      </c>
      <c r="G30" s="81">
        <v>2.1291257626879334E-2</v>
      </c>
      <c r="H30" s="81">
        <v>-1.4206998598072729E-2</v>
      </c>
      <c r="I30"/>
      <c r="J30" s="82">
        <v>10.988794325428277</v>
      </c>
      <c r="K30" s="82">
        <v>17.18282817350326</v>
      </c>
      <c r="L30" s="82">
        <v>16.498849125329755</v>
      </c>
      <c r="M30" s="82">
        <v>11.507983106068195</v>
      </c>
      <c r="N30" s="83">
        <v>10.220044616605538</v>
      </c>
      <c r="O30" s="83">
        <v>9.3760667385890795</v>
      </c>
      <c r="P30" s="83">
        <v>8.6867324834507311</v>
      </c>
      <c r="Q30" s="84"/>
      <c r="R30" s="84">
        <v>16.728114648182743</v>
      </c>
      <c r="S30" s="84">
        <v>13.915868035181806</v>
      </c>
      <c r="T30" s="84">
        <v>21.843914250155073</v>
      </c>
      <c r="U30" s="84">
        <v>12.058655724381284</v>
      </c>
      <c r="V30" s="85">
        <v>16.943108525339511</v>
      </c>
      <c r="W30" s="85">
        <v>18.95796729109523</v>
      </c>
      <c r="X30" s="85">
        <v>17.149802867383151</v>
      </c>
      <c r="Y30" s="84"/>
      <c r="Z30" s="84">
        <v>11.944150515145209</v>
      </c>
      <c r="AA30" s="84">
        <v>9.2780697419081744</v>
      </c>
      <c r="AB30" s="84">
        <v>13.737055369947218</v>
      </c>
      <c r="AC30" s="84">
        <v>9.3667538494700064</v>
      </c>
      <c r="AD30" s="85">
        <v>10.750041284215641</v>
      </c>
      <c r="AE30" s="85">
        <v>10.95903412635028</v>
      </c>
      <c r="AF30" s="85">
        <v>10.020819029202244</v>
      </c>
      <c r="AG30" s="84"/>
      <c r="AH30" s="86">
        <v>0.19992931639621583</v>
      </c>
      <c r="AI30" s="86">
        <v>8.4382623680325425E-2</v>
      </c>
      <c r="AJ30" s="86">
        <v>8.2408819029848729E-2</v>
      </c>
      <c r="AK30" s="86">
        <v>7.660195662789579E-2</v>
      </c>
      <c r="AL30" s="87">
        <v>0.10589999999999999</v>
      </c>
      <c r="AM30" s="87">
        <v>0.10727500000000001</v>
      </c>
      <c r="AN30" s="87">
        <v>0.1118</v>
      </c>
      <c r="AO30" s="84"/>
      <c r="AP30" s="81">
        <v>5.5508899353511245E-3</v>
      </c>
      <c r="AQ30" s="81">
        <v>8.7307914954105788E-3</v>
      </c>
      <c r="AR30" s="81">
        <v>1.8207386309617248E-2</v>
      </c>
      <c r="AS30" s="81">
        <v>2.0956378091303466E-2</v>
      </c>
      <c r="AT30" s="88">
        <v>2.7289705908359087E-2</v>
      </c>
      <c r="AU30" s="88">
        <v>3.0873202643800175E-2</v>
      </c>
      <c r="AV30" s="88">
        <v>3.3595281894760236E-2</v>
      </c>
    </row>
    <row r="31" spans="1:48" x14ac:dyDescent="0.3">
      <c r="A31" s="25" t="s">
        <v>424</v>
      </c>
      <c r="B31" s="59" t="s">
        <v>423</v>
      </c>
      <c r="C31" s="25" t="s">
        <v>365</v>
      </c>
      <c r="D31" s="21" t="s">
        <v>412</v>
      </c>
      <c r="E31" s="21"/>
      <c r="F31" s="23">
        <v>43906.518788949834</v>
      </c>
      <c r="G31" s="81">
        <v>6.9108940406298114E-2</v>
      </c>
      <c r="H31" s="81">
        <v>9.2702998027051287E-2</v>
      </c>
      <c r="I31"/>
      <c r="J31" s="82">
        <v>8.2332440781324632</v>
      </c>
      <c r="K31" s="82">
        <v>8.8075155289352445</v>
      </c>
      <c r="L31" s="82">
        <v>13.010809647447152</v>
      </c>
      <c r="M31" s="82">
        <v>10.284274887201658</v>
      </c>
      <c r="N31" s="83">
        <v>11.749764180301282</v>
      </c>
      <c r="O31" s="83">
        <v>11.302378369828888</v>
      </c>
      <c r="P31" s="83">
        <v>10.641295861404934</v>
      </c>
      <c r="Q31" s="84"/>
      <c r="R31" s="84">
        <v>8.2289118232300567</v>
      </c>
      <c r="S31" s="84">
        <v>5.4582504201337043</v>
      </c>
      <c r="T31" s="84">
        <v>8.996098068509319</v>
      </c>
      <c r="U31" s="84">
        <v>5.1750017990040691</v>
      </c>
      <c r="V31" s="85">
        <v>6.5624745259752517</v>
      </c>
      <c r="W31" s="85">
        <v>7.8698977033318549</v>
      </c>
      <c r="X31" s="85">
        <v>6.4221033381838888</v>
      </c>
      <c r="Y31" s="84"/>
      <c r="Z31" s="84">
        <v>6.1818332607949635</v>
      </c>
      <c r="AA31" s="84">
        <v>4.3997245614985312</v>
      </c>
      <c r="AB31" s="84">
        <v>7.3586481835962809</v>
      </c>
      <c r="AC31" s="84">
        <v>4.5054860459254638</v>
      </c>
      <c r="AD31" s="85">
        <v>5.2710690814065959</v>
      </c>
      <c r="AE31" s="85">
        <v>6.3784024149028937</v>
      </c>
      <c r="AF31" s="85">
        <v>5.259184861151426</v>
      </c>
      <c r="AG31" s="84"/>
      <c r="AH31" s="86">
        <v>0.26206933397533422</v>
      </c>
      <c r="AI31" s="86">
        <v>0.1895050417916021</v>
      </c>
      <c r="AJ31" s="86">
        <v>0.18667500849464166</v>
      </c>
      <c r="AK31" s="86">
        <v>0.18335053453033481</v>
      </c>
      <c r="AL31" s="87">
        <v>0.19038472839716858</v>
      </c>
      <c r="AM31" s="87">
        <v>0.17013061500260598</v>
      </c>
      <c r="AN31" s="87">
        <v>0.16359148831718073</v>
      </c>
      <c r="AO31" s="84"/>
      <c r="AP31" s="81">
        <v>6.9516644723933249E-2</v>
      </c>
      <c r="AQ31" s="81">
        <v>7.1187732042099119E-2</v>
      </c>
      <c r="AR31" s="81">
        <v>3.7544152635379059E-2</v>
      </c>
      <c r="AS31" s="81">
        <v>5.0392077265743455E-2</v>
      </c>
      <c r="AT31" s="88">
        <v>5.3998504755814435E-2</v>
      </c>
      <c r="AU31" s="88">
        <v>9.2200432000972721E-2</v>
      </c>
      <c r="AV31" s="88">
        <v>9.9957679885669934E-2</v>
      </c>
    </row>
    <row r="32" spans="1:48" x14ac:dyDescent="0.3">
      <c r="A32" s="25" t="s">
        <v>426</v>
      </c>
      <c r="B32" s="59" t="s">
        <v>425</v>
      </c>
      <c r="C32" s="25" t="s">
        <v>357</v>
      </c>
      <c r="D32" s="21" t="s">
        <v>366</v>
      </c>
      <c r="E32" s="21"/>
      <c r="F32" s="23">
        <v>9008.8681893856519</v>
      </c>
      <c r="G32" s="81">
        <v>8.5823341589478686E-2</v>
      </c>
      <c r="H32" s="81">
        <v>0.12946923805860511</v>
      </c>
      <c r="I32"/>
      <c r="J32" s="82">
        <v>4.8860048669763758</v>
      </c>
      <c r="K32" s="82">
        <v>5.7184744513162018</v>
      </c>
      <c r="L32" s="82">
        <v>5.2789385855113382</v>
      </c>
      <c r="M32" s="82">
        <v>5.8975226140123853</v>
      </c>
      <c r="N32" s="83">
        <v>7.5675119097613086</v>
      </c>
      <c r="O32" s="83">
        <v>6.9227824605803656</v>
      </c>
      <c r="P32" s="83">
        <v>6.4044263354531674</v>
      </c>
      <c r="Q32" s="84"/>
      <c r="R32" s="84">
        <v>22.287505220062897</v>
      </c>
      <c r="S32" s="84">
        <v>19.600180587507609</v>
      </c>
      <c r="T32" s="84">
        <v>28.709241515273167</v>
      </c>
      <c r="U32" s="84">
        <v>11.003763114414079</v>
      </c>
      <c r="V32" s="85">
        <v>12.660411339234646</v>
      </c>
      <c r="W32" s="85">
        <v>12.511008606863596</v>
      </c>
      <c r="X32" s="85">
        <v>11.813566892572156</v>
      </c>
      <c r="Y32" s="84"/>
      <c r="Z32" s="84">
        <v>13.876725861939653</v>
      </c>
      <c r="AA32" s="84">
        <v>11.788425855652553</v>
      </c>
      <c r="AB32" s="84">
        <v>16.532402142811389</v>
      </c>
      <c r="AC32" s="84">
        <v>8.3378627735375019</v>
      </c>
      <c r="AD32" s="85">
        <v>9.4721269929515035</v>
      </c>
      <c r="AE32" s="85">
        <v>9.3989447862141091</v>
      </c>
      <c r="AF32" s="85">
        <v>9.1322238386314449</v>
      </c>
      <c r="AG32" s="84"/>
      <c r="AH32" s="86">
        <v>8.9007147330480194E-2</v>
      </c>
      <c r="AI32" s="86">
        <v>8.3750774121729918E-2</v>
      </c>
      <c r="AJ32" s="86">
        <v>9.5725918316513142E-2</v>
      </c>
      <c r="AK32" s="86">
        <v>9.4945404828221946E-2</v>
      </c>
      <c r="AL32" s="87">
        <v>6.7285721475177571E-2</v>
      </c>
      <c r="AM32" s="87">
        <v>7.7774832773160094E-2</v>
      </c>
      <c r="AN32" s="87">
        <v>7.485959781880383E-2</v>
      </c>
      <c r="AO32" s="84"/>
      <c r="AP32" s="81">
        <v>4.8438675052924228E-2</v>
      </c>
      <c r="AQ32" s="81">
        <v>5.0354384386119694E-2</v>
      </c>
      <c r="AR32" s="81">
        <v>5.9944881566654687E-2</v>
      </c>
      <c r="AS32" s="81">
        <v>6.0612357632820066E-2</v>
      </c>
      <c r="AT32" s="88">
        <v>4.6765685710923072E-2</v>
      </c>
      <c r="AU32" s="88">
        <v>4.7842527158214056E-2</v>
      </c>
      <c r="AV32" s="88">
        <v>5.230372743984818E-2</v>
      </c>
    </row>
    <row r="33" spans="1:48" x14ac:dyDescent="0.3">
      <c r="A33" s="25" t="s">
        <v>428</v>
      </c>
      <c r="B33" s="59" t="s">
        <v>427</v>
      </c>
      <c r="C33" s="25" t="s">
        <v>365</v>
      </c>
      <c r="D33" s="21" t="s">
        <v>385</v>
      </c>
      <c r="E33" s="21"/>
      <c r="F33" s="23">
        <v>1197.7660763031163</v>
      </c>
      <c r="G33" s="81">
        <v>0.10536125312337186</v>
      </c>
      <c r="H33" s="81">
        <v>0.11850501492481014</v>
      </c>
      <c r="I33"/>
      <c r="J33" s="82">
        <v>16.645906185664966</v>
      </c>
      <c r="K33" s="82">
        <v>12.537155311527627</v>
      </c>
      <c r="L33" s="82">
        <v>11.123319992943909</v>
      </c>
      <c r="M33" s="82">
        <v>8.9148921201484157</v>
      </c>
      <c r="N33" s="83" t="s">
        <v>51</v>
      </c>
      <c r="O33" s="83" t="s">
        <v>51</v>
      </c>
      <c r="P33" s="83" t="s">
        <v>51</v>
      </c>
      <c r="Q33" s="84"/>
      <c r="R33" s="84">
        <v>16.620038403020082</v>
      </c>
      <c r="S33" s="84">
        <v>16.36442317921794</v>
      </c>
      <c r="T33" s="84">
        <v>17.759082007304556</v>
      </c>
      <c r="U33" s="84">
        <v>14.488959252206202</v>
      </c>
      <c r="V33" s="85">
        <v>84.742724621691806</v>
      </c>
      <c r="W33" s="85">
        <v>15.847417160781559</v>
      </c>
      <c r="X33" s="85">
        <v>10.715811778782255</v>
      </c>
      <c r="Y33" s="84"/>
      <c r="Z33" s="84">
        <v>12.784902239020132</v>
      </c>
      <c r="AA33" s="84">
        <v>12.254855542332184</v>
      </c>
      <c r="AB33" s="84">
        <v>13.55588324743297</v>
      </c>
      <c r="AC33" s="84">
        <v>11.087676239621693</v>
      </c>
      <c r="AD33" s="85">
        <v>31.410640455078312</v>
      </c>
      <c r="AE33" s="85">
        <v>12.199445450682179</v>
      </c>
      <c r="AF33" s="85">
        <v>8.9420146219842085</v>
      </c>
      <c r="AG33" s="84"/>
      <c r="AH33" s="86">
        <v>0.10240615856440931</v>
      </c>
      <c r="AI33" s="86">
        <v>0.10093524546350592</v>
      </c>
      <c r="AJ33" s="86">
        <v>0.12664492674100586</v>
      </c>
      <c r="AK33" s="86">
        <v>0.15626886675732443</v>
      </c>
      <c r="AL33" s="87" t="s">
        <v>51</v>
      </c>
      <c r="AM33" s="87" t="s">
        <v>51</v>
      </c>
      <c r="AN33" s="87" t="s">
        <v>51</v>
      </c>
      <c r="AO33" s="84"/>
      <c r="AP33" s="81">
        <v>1.8468571520318174E-2</v>
      </c>
      <c r="AQ33" s="81">
        <v>2.323463034239303E-2</v>
      </c>
      <c r="AR33" s="81">
        <v>2.6520510815381457E-2</v>
      </c>
      <c r="AS33" s="81">
        <v>3.5532305585842847E-2</v>
      </c>
      <c r="AT33" s="88" t="s">
        <v>51</v>
      </c>
      <c r="AU33" s="88" t="s">
        <v>51</v>
      </c>
      <c r="AV33" s="88" t="s">
        <v>51</v>
      </c>
    </row>
    <row r="34" spans="1:48" x14ac:dyDescent="0.3">
      <c r="A34" s="89" t="s">
        <v>430</v>
      </c>
      <c r="B34" s="107" t="s">
        <v>429</v>
      </c>
      <c r="C34" s="89" t="s">
        <v>357</v>
      </c>
      <c r="D34" s="90" t="s">
        <v>385</v>
      </c>
      <c r="E34" s="21"/>
      <c r="F34" s="91">
        <v>5904.1337391585703</v>
      </c>
      <c r="G34" s="92">
        <v>2.9239661270555217E-2</v>
      </c>
      <c r="H34" s="92">
        <v>2.9239661270555217E-2</v>
      </c>
      <c r="I34"/>
      <c r="J34" s="93">
        <v>11.216851400806616</v>
      </c>
      <c r="K34" s="93">
        <v>7.5639658482691479</v>
      </c>
      <c r="L34" s="93">
        <v>13.31918709922051</v>
      </c>
      <c r="M34" s="93">
        <v>14.246500982877494</v>
      </c>
      <c r="N34" s="94">
        <v>11.661504582704216</v>
      </c>
      <c r="O34" s="94">
        <v>9.9921755623872315</v>
      </c>
      <c r="P34" s="94">
        <v>10.248385192192032</v>
      </c>
      <c r="Q34" s="84"/>
      <c r="R34" s="95">
        <v>19.009271196901771</v>
      </c>
      <c r="S34" s="95">
        <v>19.525030246847322</v>
      </c>
      <c r="T34" s="95">
        <v>27.460683373995046</v>
      </c>
      <c r="U34" s="95">
        <v>12.250949391140026</v>
      </c>
      <c r="V34" s="96">
        <v>7.2075157967896848</v>
      </c>
      <c r="W34" s="96">
        <v>12.077288505658993</v>
      </c>
      <c r="X34" s="96">
        <v>11.330317592789132</v>
      </c>
      <c r="Y34" s="84"/>
      <c r="Z34" s="95">
        <v>12.101472998240766</v>
      </c>
      <c r="AA34" s="95">
        <v>11.119987926419929</v>
      </c>
      <c r="AB34" s="95">
        <v>15.111284291650984</v>
      </c>
      <c r="AC34" s="95">
        <v>8.7054789395969028</v>
      </c>
      <c r="AD34" s="96">
        <v>5.5278970327516621</v>
      </c>
      <c r="AE34" s="96">
        <v>7.8808762619798411</v>
      </c>
      <c r="AF34" s="96">
        <v>7.6880257628484063</v>
      </c>
      <c r="AG34" s="84"/>
      <c r="AH34" s="97">
        <v>0.15266308221463495</v>
      </c>
      <c r="AI34" s="97">
        <v>0.16132094370909647</v>
      </c>
      <c r="AJ34" s="97">
        <v>8.7091129944806986E-2</v>
      </c>
      <c r="AK34" s="97">
        <v>8.5489899789925466E-2</v>
      </c>
      <c r="AL34" s="98">
        <v>7.9000000000000001E-2</v>
      </c>
      <c r="AM34" s="98">
        <v>8.7599999999999997E-2</v>
      </c>
      <c r="AN34" s="98">
        <v>9.0999999999999998E-2</v>
      </c>
      <c r="AO34" s="84"/>
      <c r="AP34" s="92">
        <v>2.8319979215623688E-2</v>
      </c>
      <c r="AQ34" s="92">
        <v>1.6440192319082423E-2</v>
      </c>
      <c r="AR34" s="92">
        <v>2.4458702809917354E-2</v>
      </c>
      <c r="AS34" s="92">
        <v>3.138870338646179E-2</v>
      </c>
      <c r="AT34" s="99" t="s">
        <v>51</v>
      </c>
      <c r="AU34" s="99" t="s">
        <v>51</v>
      </c>
      <c r="AV34" s="99" t="s">
        <v>51</v>
      </c>
    </row>
    <row r="35" spans="1:48" x14ac:dyDescent="0.3">
      <c r="F35"/>
      <c r="G35"/>
      <c r="H35"/>
      <c r="I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</row>
    <row r="36" spans="1:48" x14ac:dyDescent="0.3">
      <c r="B36" s="64"/>
      <c r="C36" s="135" t="s">
        <v>445</v>
      </c>
      <c r="D36" s="135"/>
      <c r="F36" s="105" t="s">
        <v>436</v>
      </c>
      <c r="G36" s="138" t="s">
        <v>437</v>
      </c>
      <c r="H36" s="138"/>
      <c r="I36"/>
      <c r="J36" s="139" t="s">
        <v>440</v>
      </c>
      <c r="K36" s="139"/>
      <c r="L36" s="139"/>
      <c r="M36" s="139"/>
      <c r="N36" s="139"/>
      <c r="O36" s="139"/>
      <c r="P36" s="139"/>
      <c r="Q36"/>
      <c r="R36" s="138" t="s">
        <v>318</v>
      </c>
      <c r="S36" s="138"/>
      <c r="T36" s="138"/>
      <c r="U36" s="138"/>
      <c r="V36" s="138"/>
      <c r="W36" s="138"/>
      <c r="X36" s="138"/>
      <c r="Y36"/>
      <c r="Z36" s="138" t="s">
        <v>438</v>
      </c>
      <c r="AA36" s="138"/>
      <c r="AB36" s="138"/>
      <c r="AC36" s="138"/>
      <c r="AD36" s="138"/>
      <c r="AE36" s="138"/>
      <c r="AF36" s="138"/>
      <c r="AG36"/>
      <c r="AH36" s="138" t="s">
        <v>431</v>
      </c>
      <c r="AI36" s="138"/>
      <c r="AJ36" s="138"/>
      <c r="AK36" s="138"/>
      <c r="AL36" s="138"/>
      <c r="AM36" s="138"/>
      <c r="AN36" s="138"/>
      <c r="AO36"/>
      <c r="AP36" s="138" t="s">
        <v>439</v>
      </c>
      <c r="AQ36" s="138"/>
      <c r="AR36" s="138"/>
      <c r="AS36" s="138"/>
      <c r="AT36" s="138"/>
      <c r="AU36" s="138"/>
      <c r="AV36" s="138"/>
    </row>
    <row r="37" spans="1:48" x14ac:dyDescent="0.3">
      <c r="C37" s="18"/>
      <c r="F37" s="100" t="s">
        <v>435</v>
      </c>
      <c r="G37" s="100" t="s">
        <v>434</v>
      </c>
      <c r="H37" s="100" t="s">
        <v>433</v>
      </c>
      <c r="I37"/>
      <c r="J37" s="101">
        <v>2021</v>
      </c>
      <c r="K37" s="101">
        <v>2022</v>
      </c>
      <c r="L37" s="101">
        <v>2023</v>
      </c>
      <c r="M37" s="101">
        <v>2024</v>
      </c>
      <c r="N37" s="101">
        <v>2025</v>
      </c>
      <c r="O37" s="101">
        <v>2026</v>
      </c>
      <c r="P37" s="101">
        <v>2027</v>
      </c>
      <c r="Q37"/>
      <c r="R37" s="102">
        <v>2021</v>
      </c>
      <c r="S37" s="102">
        <v>2022</v>
      </c>
      <c r="T37" s="102">
        <v>2023</v>
      </c>
      <c r="U37" s="102">
        <v>2024</v>
      </c>
      <c r="V37" s="102">
        <v>2025</v>
      </c>
      <c r="W37" s="102">
        <v>2026</v>
      </c>
      <c r="X37" s="102">
        <v>2027</v>
      </c>
      <c r="Y37"/>
      <c r="Z37" s="102">
        <v>2021</v>
      </c>
      <c r="AA37" s="102">
        <v>2022</v>
      </c>
      <c r="AB37" s="102">
        <v>2023</v>
      </c>
      <c r="AC37" s="102">
        <v>2024</v>
      </c>
      <c r="AD37" s="102">
        <v>2025</v>
      </c>
      <c r="AE37" s="102">
        <v>2026</v>
      </c>
      <c r="AF37" s="102">
        <v>2027</v>
      </c>
      <c r="AG37"/>
      <c r="AH37" s="102">
        <v>2021</v>
      </c>
      <c r="AI37" s="102">
        <v>2022</v>
      </c>
      <c r="AJ37" s="102">
        <v>2023</v>
      </c>
      <c r="AK37" s="102">
        <v>2024</v>
      </c>
      <c r="AL37" s="102">
        <v>2025</v>
      </c>
      <c r="AM37" s="102">
        <v>2026</v>
      </c>
      <c r="AN37" s="102">
        <v>2027</v>
      </c>
      <c r="AO37"/>
      <c r="AP37" s="102">
        <v>2021</v>
      </c>
      <c r="AQ37" s="102">
        <v>2022</v>
      </c>
      <c r="AR37" s="102">
        <v>2023</v>
      </c>
      <c r="AS37" s="102">
        <v>2024</v>
      </c>
      <c r="AT37" s="102">
        <v>2025</v>
      </c>
      <c r="AU37" s="102">
        <v>2026</v>
      </c>
      <c r="AV37" s="102">
        <v>2027</v>
      </c>
    </row>
    <row r="38" spans="1:48" x14ac:dyDescent="0.3">
      <c r="B38" s="64"/>
      <c r="C38" s="135" t="s">
        <v>443</v>
      </c>
      <c r="D38" s="135"/>
      <c r="F38" s="103">
        <v>1029.8375906306062</v>
      </c>
      <c r="G38" s="81">
        <v>-0.28793603240807475</v>
      </c>
      <c r="H38" s="81">
        <v>-0.43586921912120613</v>
      </c>
      <c r="I38"/>
      <c r="J38" s="82">
        <v>1.8651625639402694</v>
      </c>
      <c r="K38" s="82">
        <v>1.8327246814225926</v>
      </c>
      <c r="L38" s="82">
        <v>2.7077318890085267</v>
      </c>
      <c r="M38" s="82">
        <v>2.6273158007446824</v>
      </c>
      <c r="N38" s="82">
        <v>7.5675119097613086</v>
      </c>
      <c r="O38" s="82">
        <v>6.2384873505474054</v>
      </c>
      <c r="P38" s="82">
        <v>6.4044263354531674</v>
      </c>
      <c r="Q38" s="84"/>
      <c r="R38" s="84">
        <v>4.3855982441471575</v>
      </c>
      <c r="S38" s="84">
        <v>5.4582504201337043</v>
      </c>
      <c r="T38" s="84">
        <v>6.902189362425557</v>
      </c>
      <c r="U38" s="84">
        <v>4.0803988971604399</v>
      </c>
      <c r="V38" s="84">
        <v>4.086451012094285</v>
      </c>
      <c r="W38" s="84">
        <v>5.4896196583071228</v>
      </c>
      <c r="X38" s="84">
        <v>4.3099175406489802</v>
      </c>
      <c r="Y38" s="84"/>
      <c r="Z38" s="84">
        <v>3.3478062868996328</v>
      </c>
      <c r="AA38" s="84">
        <v>4.0330974663318875</v>
      </c>
      <c r="AB38" s="84">
        <v>4.808366343509813</v>
      </c>
      <c r="AC38" s="84">
        <v>3.3838876327159388</v>
      </c>
      <c r="AD38" s="84">
        <v>3.1469563387684532</v>
      </c>
      <c r="AE38" s="84">
        <v>3.8893812894715514</v>
      </c>
      <c r="AF38" s="84">
        <v>3.4041447734807182</v>
      </c>
      <c r="AG38" s="84"/>
      <c r="AH38" s="84">
        <v>-0.39221525811135227</v>
      </c>
      <c r="AI38" s="84">
        <v>-1.3677926239757487</v>
      </c>
      <c r="AJ38" s="84">
        <v>-0.77384235753470687</v>
      </c>
      <c r="AK38" s="84">
        <v>-0.473719822250668</v>
      </c>
      <c r="AL38" s="84">
        <v>1.1193449714401234E-3</v>
      </c>
      <c r="AM38" s="84">
        <v>1.2352223669542181E-2</v>
      </c>
      <c r="AN38" s="84">
        <v>1.2013802815021997E-2</v>
      </c>
      <c r="AO38" s="84"/>
      <c r="AP38" s="84">
        <v>4.1787248100429462E-4</v>
      </c>
      <c r="AQ38" s="84">
        <v>2.3936920016584006E-3</v>
      </c>
      <c r="AR38" s="84">
        <v>7.4172101716465325E-4</v>
      </c>
      <c r="AS38" s="84">
        <v>2.4682675814751286E-3</v>
      </c>
      <c r="AT38" s="84">
        <v>1.5307132151221585E-3</v>
      </c>
      <c r="AU38" s="84">
        <v>9.0886455103231624E-4</v>
      </c>
      <c r="AV38" s="84">
        <v>1.6124503285510116E-3</v>
      </c>
    </row>
    <row r="39" spans="1:48" x14ac:dyDescent="0.3">
      <c r="B39" s="64"/>
      <c r="C39" s="135" t="s">
        <v>444</v>
      </c>
      <c r="D39" s="135"/>
      <c r="F39" s="103">
        <v>59142.726856833535</v>
      </c>
      <c r="G39" s="81">
        <v>0.38267193897894947</v>
      </c>
      <c r="H39" s="81">
        <v>0.33766059312084762</v>
      </c>
      <c r="I39"/>
      <c r="J39" s="82">
        <v>175.8691928842459</v>
      </c>
      <c r="K39" s="82">
        <v>40.250272356349427</v>
      </c>
      <c r="L39" s="82">
        <v>740.9136146016192</v>
      </c>
      <c r="M39" s="82">
        <v>1589.601824028535</v>
      </c>
      <c r="N39" s="82">
        <v>624.09646433040757</v>
      </c>
      <c r="O39" s="82">
        <v>111.64372559691795</v>
      </c>
      <c r="P39" s="82">
        <v>21.061461011399874</v>
      </c>
      <c r="Q39" s="84"/>
      <c r="R39" s="84">
        <v>208.06595417206594</v>
      </c>
      <c r="S39" s="84">
        <v>113.43408762243985</v>
      </c>
      <c r="T39" s="84">
        <v>85.299345229286914</v>
      </c>
      <c r="U39" s="84">
        <v>164.62312790530078</v>
      </c>
      <c r="V39" s="84">
        <v>84.742724621691806</v>
      </c>
      <c r="W39" s="84">
        <v>225.26424450101581</v>
      </c>
      <c r="X39" s="84">
        <v>46.151973470297698</v>
      </c>
      <c r="Y39" s="84"/>
      <c r="Z39" s="84">
        <v>25.943592841685739</v>
      </c>
      <c r="AA39" s="84">
        <v>104.60903872051283</v>
      </c>
      <c r="AB39" s="84">
        <v>67.052815733468989</v>
      </c>
      <c r="AC39" s="84">
        <v>73.119310661404796</v>
      </c>
      <c r="AD39" s="84">
        <v>44.789521177125494</v>
      </c>
      <c r="AE39" s="84">
        <v>67.736350960429192</v>
      </c>
      <c r="AF39" s="84">
        <v>106.30461501234012</v>
      </c>
      <c r="AG39" s="84"/>
      <c r="AH39" s="84">
        <v>0.46538072482472359</v>
      </c>
      <c r="AI39" s="84">
        <v>0.35881785965554175</v>
      </c>
      <c r="AJ39" s="84">
        <v>0.24064494547482268</v>
      </c>
      <c r="AK39" s="84">
        <v>0.27489323370159047</v>
      </c>
      <c r="AL39" s="84">
        <v>0.22227225153856575</v>
      </c>
      <c r="AM39" s="84">
        <v>0.22236220968697637</v>
      </c>
      <c r="AN39" s="84">
        <v>0.21839028977371197</v>
      </c>
      <c r="AO39" s="84"/>
      <c r="AP39" s="84">
        <v>0.17569117594936709</v>
      </c>
      <c r="AQ39" s="84">
        <v>0.10201406197183099</v>
      </c>
      <c r="AR39" s="84">
        <v>6.5406134663341636E-2</v>
      </c>
      <c r="AS39" s="84">
        <v>0.1228554852320675</v>
      </c>
      <c r="AT39" s="84">
        <v>5.475E-2</v>
      </c>
      <c r="AU39" s="84">
        <v>9.2200432000972721E-2</v>
      </c>
      <c r="AV39" s="84">
        <v>9.9957679885669934E-2</v>
      </c>
    </row>
    <row r="40" spans="1:48" x14ac:dyDescent="0.3">
      <c r="B40" s="64"/>
      <c r="C40" s="135" t="s">
        <v>432</v>
      </c>
      <c r="D40" s="135"/>
      <c r="F40" s="104">
        <v>8843.838193160731</v>
      </c>
      <c r="G40" s="92">
        <v>5.6800309754059544E-2</v>
      </c>
      <c r="H40" s="92">
        <v>4.1650820840747296E-2</v>
      </c>
      <c r="I40"/>
      <c r="J40" s="93">
        <v>30.775315776069544</v>
      </c>
      <c r="K40" s="93">
        <v>16.044578629877442</v>
      </c>
      <c r="L40" s="93">
        <v>76.166047898893055</v>
      </c>
      <c r="M40" s="93">
        <v>91.460299404382354</v>
      </c>
      <c r="N40" s="93">
        <v>55.270907013096505</v>
      </c>
      <c r="O40" s="93">
        <v>19.649635269596359</v>
      </c>
      <c r="P40" s="93">
        <v>12.59714593618145</v>
      </c>
      <c r="Q40" s="84"/>
      <c r="R40" s="95">
        <v>32.501962225130256</v>
      </c>
      <c r="S40" s="95">
        <v>27.085308108138346</v>
      </c>
      <c r="T40" s="95">
        <v>25.15282828866523</v>
      </c>
      <c r="U40" s="95">
        <v>23.761884508709009</v>
      </c>
      <c r="V40" s="95">
        <v>18.221318039927265</v>
      </c>
      <c r="W40" s="95">
        <v>49.955505978147151</v>
      </c>
      <c r="X40" s="95">
        <v>15.921491133022768</v>
      </c>
      <c r="Y40" s="84"/>
      <c r="Z40" s="95">
        <v>10.105975189725825</v>
      </c>
      <c r="AA40" s="95">
        <v>20.297317688591477</v>
      </c>
      <c r="AB40" s="95">
        <v>20.886520472117464</v>
      </c>
      <c r="AC40" s="95">
        <v>12.820207721166788</v>
      </c>
      <c r="AD40" s="95">
        <v>11.518525708045862</v>
      </c>
      <c r="AE40" s="95">
        <v>18.079551974358676</v>
      </c>
      <c r="AF40" s="95">
        <v>17.159074024440343</v>
      </c>
      <c r="AG40" s="84"/>
      <c r="AH40" s="95">
        <v>0.12455229040771139</v>
      </c>
      <c r="AI40" s="95">
        <v>7.3144103707887723E-2</v>
      </c>
      <c r="AJ40" s="95">
        <v>3.1715869451681478E-2</v>
      </c>
      <c r="AK40" s="95">
        <v>5.4461432882645586E-2</v>
      </c>
      <c r="AL40" s="95">
        <v>8.4022605799961556E-2</v>
      </c>
      <c r="AM40" s="95">
        <v>0.1004162596552948</v>
      </c>
      <c r="AN40" s="95">
        <v>9.7978978362546584E-2</v>
      </c>
      <c r="AO40" s="84"/>
      <c r="AP40" s="95">
        <v>3.0846211494585794E-2</v>
      </c>
      <c r="AQ40" s="95">
        <v>2.6476478143469862E-2</v>
      </c>
      <c r="AR40" s="95">
        <v>2.2546110640942078E-2</v>
      </c>
      <c r="AS40" s="95">
        <v>2.9681782793012566E-2</v>
      </c>
      <c r="AT40" s="95">
        <v>2.0087892050870373E-2</v>
      </c>
      <c r="AU40" s="95">
        <v>2.5234201254185934E-2</v>
      </c>
      <c r="AV40" s="95">
        <v>2.9006954288242758E-2</v>
      </c>
    </row>
  </sheetData>
  <mergeCells count="17">
    <mergeCell ref="AP2:AV2"/>
    <mergeCell ref="G36:H36"/>
    <mergeCell ref="J36:P36"/>
    <mergeCell ref="R36:X36"/>
    <mergeCell ref="Z36:AF36"/>
    <mergeCell ref="AH36:AN36"/>
    <mergeCell ref="AP36:AV36"/>
    <mergeCell ref="G2:H2"/>
    <mergeCell ref="J2:P2"/>
    <mergeCell ref="R2:X2"/>
    <mergeCell ref="Z2:AF2"/>
    <mergeCell ref="C36:D36"/>
    <mergeCell ref="C38:D38"/>
    <mergeCell ref="C39:D39"/>
    <mergeCell ref="C40:D40"/>
    <mergeCell ref="AH2:AN2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709A-D819-49B2-ACCE-893397D4C9D9}">
  <sheetPr>
    <tabColor theme="3" tint="0.749992370372631"/>
  </sheetPr>
  <dimension ref="B21:O44"/>
  <sheetViews>
    <sheetView showGridLines="0" topLeftCell="A21" workbookViewId="0">
      <selection activeCell="P10" sqref="P10"/>
    </sheetView>
  </sheetViews>
  <sheetFormatPr baseColWidth="10" defaultRowHeight="14.4" x14ac:dyDescent="0.3"/>
  <cols>
    <col min="1" max="1" width="3.109375" customWidth="1"/>
    <col min="3" max="3" width="8.109375" customWidth="1"/>
    <col min="4" max="4" width="7.77734375" customWidth="1"/>
    <col min="5" max="5" width="8.109375" customWidth="1"/>
    <col min="6" max="6" width="2.88671875" customWidth="1"/>
    <col min="7" max="7" width="9.21875" customWidth="1"/>
    <col min="10" max="10" width="3.21875" customWidth="1"/>
    <col min="11" max="11" width="21" customWidth="1"/>
    <col min="12" max="12" width="17.6640625" customWidth="1"/>
  </cols>
  <sheetData>
    <row r="21" spans="2:15" x14ac:dyDescent="0.3">
      <c r="B21" s="70" t="s">
        <v>300</v>
      </c>
      <c r="C21" s="70" t="s">
        <v>505</v>
      </c>
      <c r="D21" s="70" t="s">
        <v>506</v>
      </c>
      <c r="E21" s="70" t="s">
        <v>507</v>
      </c>
      <c r="F21" s="70"/>
      <c r="G21" s="70" t="s">
        <v>300</v>
      </c>
      <c r="H21" s="70" t="s">
        <v>288</v>
      </c>
      <c r="I21" s="70" t="s">
        <v>446</v>
      </c>
      <c r="J21" s="9"/>
      <c r="K21" s="70" t="s">
        <v>447</v>
      </c>
      <c r="L21" s="70" t="s">
        <v>448</v>
      </c>
      <c r="M21" s="70" t="s">
        <v>449</v>
      </c>
      <c r="N21" s="70" t="s">
        <v>446</v>
      </c>
      <c r="O21" s="70" t="s">
        <v>300</v>
      </c>
    </row>
    <row r="22" spans="2:15" x14ac:dyDescent="0.3">
      <c r="B22" s="9">
        <v>45443</v>
      </c>
      <c r="C22" s="65">
        <v>0.15</v>
      </c>
      <c r="D22" s="65">
        <v>0.2</v>
      </c>
      <c r="E22" s="65">
        <v>0.65</v>
      </c>
      <c r="F22" s="9"/>
      <c r="G22" s="66">
        <v>45820</v>
      </c>
      <c r="H22" s="9">
        <v>97.050003051757813</v>
      </c>
      <c r="I22" s="9">
        <v>92.664138793945313</v>
      </c>
      <c r="J22" s="9"/>
      <c r="K22" s="9" t="s">
        <v>450</v>
      </c>
      <c r="L22" s="9" t="s">
        <v>451</v>
      </c>
      <c r="M22" s="9" t="s">
        <v>452</v>
      </c>
      <c r="N22" s="72">
        <v>103</v>
      </c>
      <c r="O22" s="67">
        <v>45819</v>
      </c>
    </row>
    <row r="23" spans="2:15" x14ac:dyDescent="0.3">
      <c r="B23" s="9">
        <v>45471</v>
      </c>
      <c r="C23" s="65">
        <v>0.15</v>
      </c>
      <c r="D23" s="65">
        <v>0.2</v>
      </c>
      <c r="E23" s="65">
        <v>0.65</v>
      </c>
      <c r="F23" s="9"/>
      <c r="G23" s="66">
        <v>45819</v>
      </c>
      <c r="H23" s="9">
        <v>97.05</v>
      </c>
      <c r="I23" s="9">
        <v>92.664138793945313</v>
      </c>
      <c r="J23" s="9"/>
      <c r="K23" s="9" t="s">
        <v>453</v>
      </c>
      <c r="L23" s="9" t="s">
        <v>454</v>
      </c>
      <c r="M23" s="9" t="s">
        <v>455</v>
      </c>
      <c r="N23" s="72">
        <v>86</v>
      </c>
      <c r="O23" s="67">
        <v>45814</v>
      </c>
    </row>
    <row r="24" spans="2:15" x14ac:dyDescent="0.3">
      <c r="B24" s="9">
        <v>45504</v>
      </c>
      <c r="C24" s="65">
        <v>0.14285714285714285</v>
      </c>
      <c r="D24" s="65">
        <v>0.23809523809523808</v>
      </c>
      <c r="E24" s="65">
        <v>0.61904761904761907</v>
      </c>
      <c r="F24" s="9"/>
      <c r="G24" s="66">
        <v>45818</v>
      </c>
      <c r="H24" s="9">
        <v>97.25</v>
      </c>
      <c r="I24" s="9">
        <v>92.912246704101563</v>
      </c>
      <c r="J24" s="9"/>
      <c r="K24" s="9" t="s">
        <v>456</v>
      </c>
      <c r="L24" s="9" t="s">
        <v>457</v>
      </c>
      <c r="M24" s="9" t="s">
        <v>458</v>
      </c>
      <c r="N24" s="72">
        <v>99</v>
      </c>
      <c r="O24" s="67">
        <v>45813</v>
      </c>
    </row>
    <row r="25" spans="2:15" x14ac:dyDescent="0.3">
      <c r="B25" s="9">
        <v>45533</v>
      </c>
      <c r="C25" s="65">
        <v>0.14285714285714285</v>
      </c>
      <c r="D25" s="65">
        <v>0.23809523809523808</v>
      </c>
      <c r="E25" s="65">
        <v>0.61904761904761907</v>
      </c>
      <c r="F25" s="9"/>
      <c r="G25" s="66">
        <v>45817</v>
      </c>
      <c r="H25" s="9">
        <v>98.22</v>
      </c>
      <c r="I25" s="9">
        <v>92.912246704101563</v>
      </c>
      <c r="J25" s="9"/>
      <c r="K25" s="9" t="s">
        <v>459</v>
      </c>
      <c r="L25" s="9" t="s">
        <v>460</v>
      </c>
      <c r="M25" s="9" t="s">
        <v>461</v>
      </c>
      <c r="N25" s="72">
        <v>90</v>
      </c>
      <c r="O25" s="67">
        <v>45807</v>
      </c>
    </row>
    <row r="26" spans="2:15" x14ac:dyDescent="0.3">
      <c r="B26" s="9">
        <v>45565</v>
      </c>
      <c r="C26" s="65">
        <v>0.14285714285714285</v>
      </c>
      <c r="D26" s="65">
        <v>0.23809523809523808</v>
      </c>
      <c r="E26" s="65">
        <v>0.61904761904761907</v>
      </c>
      <c r="F26" s="9"/>
      <c r="G26" s="66">
        <v>45816</v>
      </c>
      <c r="H26" s="9">
        <v>96.8</v>
      </c>
      <c r="I26" s="9">
        <v>92.912246704101563</v>
      </c>
      <c r="J26" s="9"/>
      <c r="K26" s="9" t="s">
        <v>462</v>
      </c>
      <c r="L26" s="9" t="s">
        <v>463</v>
      </c>
      <c r="M26" s="9" t="s">
        <v>461</v>
      </c>
      <c r="N26" s="72">
        <v>90</v>
      </c>
      <c r="O26" s="67">
        <v>45792</v>
      </c>
    </row>
    <row r="27" spans="2:15" x14ac:dyDescent="0.3">
      <c r="B27" s="9">
        <v>45596</v>
      </c>
      <c r="C27" s="65">
        <v>0.19047619047619047</v>
      </c>
      <c r="D27" s="65">
        <v>0.23809523809523808</v>
      </c>
      <c r="E27" s="65">
        <v>0.5714285714285714</v>
      </c>
      <c r="F27" s="9"/>
      <c r="G27" s="66">
        <v>45815</v>
      </c>
      <c r="H27" s="9">
        <v>96.8</v>
      </c>
      <c r="I27" s="9">
        <v>92.912246704101563</v>
      </c>
      <c r="J27" s="9"/>
      <c r="K27" s="9" t="s">
        <v>464</v>
      </c>
      <c r="L27" s="9" t="s">
        <v>465</v>
      </c>
      <c r="M27" s="9" t="s">
        <v>466</v>
      </c>
      <c r="N27" s="72">
        <v>72</v>
      </c>
      <c r="O27" s="67">
        <v>45791</v>
      </c>
    </row>
    <row r="28" spans="2:15" x14ac:dyDescent="0.3">
      <c r="B28" s="9">
        <v>45625</v>
      </c>
      <c r="C28" s="65">
        <v>0.19047619047619047</v>
      </c>
      <c r="D28" s="65">
        <v>0.23809523809523808</v>
      </c>
      <c r="E28" s="65">
        <v>0.5714285714285714</v>
      </c>
      <c r="F28" s="9"/>
      <c r="G28" s="66">
        <v>45814</v>
      </c>
      <c r="H28" s="9">
        <v>96.8</v>
      </c>
      <c r="I28" s="9">
        <v>92.912246704101563</v>
      </c>
      <c r="J28" s="9"/>
      <c r="K28" s="9" t="s">
        <v>467</v>
      </c>
      <c r="L28" s="9" t="s">
        <v>468</v>
      </c>
      <c r="M28" s="9" t="s">
        <v>469</v>
      </c>
      <c r="N28" s="72">
        <v>100</v>
      </c>
      <c r="O28" s="67">
        <v>45783</v>
      </c>
    </row>
    <row r="29" spans="2:15" x14ac:dyDescent="0.3">
      <c r="B29" s="9">
        <v>45657</v>
      </c>
      <c r="C29" s="65">
        <v>0.23809523809523808</v>
      </c>
      <c r="D29" s="65">
        <v>0.33333333333333331</v>
      </c>
      <c r="E29" s="65">
        <v>0.42857142857142855</v>
      </c>
      <c r="F29" s="9"/>
      <c r="G29" s="66">
        <v>45813</v>
      </c>
      <c r="H29" s="9">
        <v>96.8</v>
      </c>
      <c r="I29" s="9">
        <v>92.912246704101563</v>
      </c>
      <c r="J29" s="9"/>
      <c r="K29" s="9" t="s">
        <v>470</v>
      </c>
      <c r="L29" s="9" t="s">
        <v>471</v>
      </c>
      <c r="M29" s="9" t="s">
        <v>472</v>
      </c>
      <c r="N29" s="72"/>
      <c r="O29" s="67">
        <v>45775</v>
      </c>
    </row>
    <row r="30" spans="2:15" x14ac:dyDescent="0.3">
      <c r="B30" s="9">
        <v>45688</v>
      </c>
      <c r="C30" s="65">
        <v>0.19047619047619047</v>
      </c>
      <c r="D30" s="65">
        <v>0.38095238095238093</v>
      </c>
      <c r="E30" s="65">
        <v>0.42857142857142855</v>
      </c>
      <c r="F30" s="9"/>
      <c r="G30" s="66">
        <v>45812</v>
      </c>
      <c r="H30" s="9">
        <v>93.5</v>
      </c>
      <c r="I30" s="9">
        <v>92.912246704101563</v>
      </c>
      <c r="J30" s="9"/>
      <c r="K30" s="9" t="s">
        <v>473</v>
      </c>
      <c r="L30" s="9" t="s">
        <v>474</v>
      </c>
      <c r="M30" s="9" t="s">
        <v>461</v>
      </c>
      <c r="N30" s="72">
        <v>88.25</v>
      </c>
      <c r="O30" s="67">
        <v>45775</v>
      </c>
    </row>
    <row r="31" spans="2:15" x14ac:dyDescent="0.3">
      <c r="B31" s="9">
        <v>45716</v>
      </c>
      <c r="C31" s="65">
        <v>0.22727272727272727</v>
      </c>
      <c r="D31" s="65">
        <v>0.36363636363636365</v>
      </c>
      <c r="E31" s="65">
        <v>0.40909090909090912</v>
      </c>
      <c r="F31" s="9"/>
      <c r="G31" s="66">
        <v>45811</v>
      </c>
      <c r="H31" s="9">
        <v>92.4</v>
      </c>
      <c r="I31" s="9">
        <v>92.912246704101563</v>
      </c>
      <c r="J31" s="9"/>
      <c r="K31" s="9" t="s">
        <v>475</v>
      </c>
      <c r="L31" s="9" t="s">
        <v>476</v>
      </c>
      <c r="M31" s="9" t="s">
        <v>477</v>
      </c>
      <c r="N31" s="72">
        <v>101.5</v>
      </c>
      <c r="O31" s="67">
        <v>45775</v>
      </c>
    </row>
    <row r="32" spans="2:15" x14ac:dyDescent="0.3">
      <c r="B32" s="9">
        <v>45747</v>
      </c>
      <c r="C32" s="65">
        <v>0.27272727272727271</v>
      </c>
      <c r="D32" s="65">
        <v>0.31818181818181818</v>
      </c>
      <c r="E32" s="65">
        <v>0.40909090909090912</v>
      </c>
      <c r="F32" s="9"/>
      <c r="G32" s="66">
        <v>45810</v>
      </c>
      <c r="H32" s="9">
        <v>92.75</v>
      </c>
      <c r="I32" s="9">
        <v>92.912246704101563</v>
      </c>
      <c r="J32" s="9"/>
      <c r="K32" s="9" t="s">
        <v>478</v>
      </c>
      <c r="L32" s="9" t="s">
        <v>479</v>
      </c>
      <c r="M32" s="9" t="s">
        <v>458</v>
      </c>
      <c r="N32" s="72">
        <v>89.12</v>
      </c>
      <c r="O32" s="67">
        <v>45775</v>
      </c>
    </row>
    <row r="33" spans="2:15" x14ac:dyDescent="0.3">
      <c r="B33" s="9">
        <v>45777</v>
      </c>
      <c r="C33" s="65">
        <v>0.27272727272727271</v>
      </c>
      <c r="D33" s="65">
        <v>0.36363636363636365</v>
      </c>
      <c r="E33" s="65">
        <v>0.36363636363636365</v>
      </c>
      <c r="F33" s="9"/>
      <c r="G33" s="66">
        <v>45809</v>
      </c>
      <c r="H33" s="9">
        <v>90.6</v>
      </c>
      <c r="I33" s="9">
        <v>92.912246704101563</v>
      </c>
      <c r="J33" s="9"/>
      <c r="K33" s="9" t="s">
        <v>480</v>
      </c>
      <c r="L33" s="9" t="s">
        <v>481</v>
      </c>
      <c r="M33" s="9" t="s">
        <v>458</v>
      </c>
      <c r="N33" s="72">
        <v>118.82</v>
      </c>
      <c r="O33" s="67">
        <v>45772</v>
      </c>
    </row>
    <row r="34" spans="2:15" x14ac:dyDescent="0.3">
      <c r="B34" s="9">
        <v>45807</v>
      </c>
      <c r="C34" s="65">
        <v>0.27272727272727271</v>
      </c>
      <c r="D34" s="65">
        <v>0.36363636363636365</v>
      </c>
      <c r="E34" s="65">
        <v>0.36363636363636365</v>
      </c>
      <c r="F34" s="9"/>
      <c r="G34" s="66">
        <v>45808</v>
      </c>
      <c r="H34" s="9">
        <v>90.6</v>
      </c>
      <c r="I34" s="9">
        <v>92.912246704101563</v>
      </c>
      <c r="J34" s="9"/>
      <c r="K34" s="9" t="s">
        <v>482</v>
      </c>
      <c r="L34" s="9" t="s">
        <v>483</v>
      </c>
      <c r="M34" s="9" t="s">
        <v>458</v>
      </c>
      <c r="N34" s="72">
        <v>82.97</v>
      </c>
      <c r="O34" s="67">
        <v>45772</v>
      </c>
    </row>
    <row r="35" spans="2:15" x14ac:dyDescent="0.3">
      <c r="B35" s="9"/>
      <c r="C35" s="9"/>
      <c r="D35" s="9"/>
      <c r="E35" s="9"/>
      <c r="F35" s="9"/>
      <c r="G35" s="66">
        <v>45807</v>
      </c>
      <c r="H35" s="9">
        <v>90.6</v>
      </c>
      <c r="I35" s="9">
        <v>92.912246704101563</v>
      </c>
      <c r="J35" s="9"/>
      <c r="K35" s="9" t="s">
        <v>484</v>
      </c>
      <c r="L35" s="9" t="s">
        <v>485</v>
      </c>
      <c r="M35" s="9" t="s">
        <v>486</v>
      </c>
      <c r="N35" s="72"/>
      <c r="O35" s="67">
        <v>45772</v>
      </c>
    </row>
    <row r="36" spans="2:15" x14ac:dyDescent="0.3">
      <c r="B36" s="9"/>
      <c r="C36" s="9"/>
      <c r="D36" s="9"/>
      <c r="E36" s="9"/>
      <c r="F36" s="9"/>
      <c r="G36" s="66">
        <v>45806</v>
      </c>
      <c r="H36" s="9">
        <v>91.7</v>
      </c>
      <c r="I36" s="9">
        <v>93.083358764648438</v>
      </c>
      <c r="J36" s="9"/>
      <c r="K36" s="9" t="s">
        <v>487</v>
      </c>
      <c r="L36" s="9" t="s">
        <v>488</v>
      </c>
      <c r="M36" s="9" t="s">
        <v>489</v>
      </c>
      <c r="N36" s="72">
        <v>69.36</v>
      </c>
      <c r="O36" s="67">
        <v>45772</v>
      </c>
    </row>
    <row r="37" spans="2:15" x14ac:dyDescent="0.3">
      <c r="B37" s="9"/>
      <c r="C37" s="9"/>
      <c r="D37" s="9"/>
      <c r="E37" s="9"/>
      <c r="F37" s="9"/>
      <c r="G37" s="66">
        <v>45805</v>
      </c>
      <c r="H37" s="9">
        <v>91.7</v>
      </c>
      <c r="I37" s="9">
        <v>93.083358764648438</v>
      </c>
      <c r="J37" s="9"/>
      <c r="K37" s="9" t="s">
        <v>490</v>
      </c>
      <c r="L37" s="9" t="s">
        <v>491</v>
      </c>
      <c r="M37" s="9" t="s">
        <v>458</v>
      </c>
      <c r="N37" s="72">
        <v>108.13</v>
      </c>
      <c r="O37" s="67">
        <v>45771</v>
      </c>
    </row>
    <row r="38" spans="2:15" x14ac:dyDescent="0.3">
      <c r="B38" s="9"/>
      <c r="C38" s="9"/>
      <c r="D38" s="9"/>
      <c r="E38" s="9"/>
      <c r="F38" s="9"/>
      <c r="G38" s="66">
        <v>45804</v>
      </c>
      <c r="H38" s="9">
        <v>92.65</v>
      </c>
      <c r="I38" s="9">
        <v>93.083358764648438</v>
      </c>
      <c r="J38" s="9"/>
      <c r="K38" s="9" t="s">
        <v>492</v>
      </c>
      <c r="L38" s="9" t="s">
        <v>493</v>
      </c>
      <c r="M38" s="9" t="s">
        <v>469</v>
      </c>
      <c r="N38" s="72">
        <v>75.5</v>
      </c>
      <c r="O38" s="67">
        <v>45770</v>
      </c>
    </row>
    <row r="39" spans="2:15" x14ac:dyDescent="0.3">
      <c r="B39" s="9"/>
      <c r="C39" s="9"/>
      <c r="D39" s="9"/>
      <c r="E39" s="9"/>
      <c r="F39" s="9"/>
      <c r="G39" s="66">
        <v>45803</v>
      </c>
      <c r="H39" s="9">
        <v>92.43</v>
      </c>
      <c r="I39" s="9">
        <v>93.083358764648438</v>
      </c>
      <c r="J39" s="9"/>
      <c r="K39" s="9" t="s">
        <v>494</v>
      </c>
      <c r="L39" s="9" t="s">
        <v>495</v>
      </c>
      <c r="M39" s="9" t="s">
        <v>458</v>
      </c>
      <c r="N39" s="72">
        <v>82.68</v>
      </c>
      <c r="O39" s="67">
        <v>45758</v>
      </c>
    </row>
    <row r="40" spans="2:15" x14ac:dyDescent="0.3">
      <c r="B40" s="9"/>
      <c r="C40" s="9"/>
      <c r="D40" s="9"/>
      <c r="E40" s="9"/>
      <c r="F40" s="9"/>
      <c r="G40" s="66">
        <v>45802</v>
      </c>
      <c r="H40" s="9">
        <v>92.43</v>
      </c>
      <c r="I40" s="9">
        <v>93.083358764648438</v>
      </c>
      <c r="J40" s="9"/>
      <c r="K40" s="9" t="s">
        <v>496</v>
      </c>
      <c r="L40" s="9" t="s">
        <v>497</v>
      </c>
      <c r="M40" s="9" t="s">
        <v>472</v>
      </c>
      <c r="N40" s="72">
        <v>128.72999999999999</v>
      </c>
      <c r="O40" s="67">
        <v>45750</v>
      </c>
    </row>
    <row r="41" spans="2:15" x14ac:dyDescent="0.3">
      <c r="B41" s="9"/>
      <c r="C41" s="9"/>
      <c r="D41" s="9"/>
      <c r="E41" s="9"/>
      <c r="F41" s="9"/>
      <c r="G41" s="66">
        <v>45801</v>
      </c>
      <c r="H41" s="9">
        <v>92.43</v>
      </c>
      <c r="I41" s="9">
        <v>93.083358764648438</v>
      </c>
      <c r="J41" s="9"/>
      <c r="K41" s="9" t="s">
        <v>498</v>
      </c>
      <c r="L41" s="9" t="s">
        <v>457</v>
      </c>
      <c r="M41" s="9" t="s">
        <v>472</v>
      </c>
      <c r="N41" s="72">
        <v>128.1</v>
      </c>
      <c r="O41" s="67">
        <v>45686</v>
      </c>
    </row>
    <row r="42" spans="2:15" x14ac:dyDescent="0.3">
      <c r="B42" s="9"/>
      <c r="C42" s="9"/>
      <c r="D42" s="9"/>
      <c r="E42" s="9"/>
      <c r="F42" s="9"/>
      <c r="G42" s="66">
        <v>45800</v>
      </c>
      <c r="H42" s="9">
        <v>92.43</v>
      </c>
      <c r="I42" s="9">
        <v>93.083358764648438</v>
      </c>
      <c r="J42" s="9"/>
      <c r="K42" s="9" t="s">
        <v>499</v>
      </c>
      <c r="L42" s="9" t="s">
        <v>500</v>
      </c>
      <c r="M42" s="9" t="s">
        <v>461</v>
      </c>
      <c r="N42" s="72">
        <v>62.91</v>
      </c>
      <c r="O42" s="67">
        <v>45664</v>
      </c>
    </row>
    <row r="43" spans="2:15" x14ac:dyDescent="0.3">
      <c r="B43" s="9"/>
      <c r="C43" s="9"/>
      <c r="D43" s="9"/>
      <c r="E43" s="9"/>
      <c r="F43" s="9"/>
      <c r="G43" s="66">
        <v>45799</v>
      </c>
      <c r="H43" s="9">
        <v>90.45</v>
      </c>
      <c r="I43" s="9">
        <v>93.083358764648438</v>
      </c>
      <c r="J43" s="9"/>
      <c r="K43" s="9" t="s">
        <v>501</v>
      </c>
      <c r="L43" s="9" t="s">
        <v>502</v>
      </c>
      <c r="M43" s="9" t="s">
        <v>472</v>
      </c>
      <c r="N43" s="72">
        <v>106.35</v>
      </c>
      <c r="O43" s="67">
        <v>45652</v>
      </c>
    </row>
    <row r="44" spans="2:15" x14ac:dyDescent="0.3">
      <c r="B44" s="68"/>
      <c r="C44" s="68"/>
      <c r="D44" s="68"/>
      <c r="E44" s="68"/>
      <c r="F44" s="68"/>
      <c r="G44" s="69">
        <v>45798</v>
      </c>
      <c r="H44" s="68">
        <v>90.4</v>
      </c>
      <c r="I44" s="68">
        <v>93.083358764648438</v>
      </c>
      <c r="J44" s="9"/>
      <c r="K44" s="68" t="s">
        <v>503</v>
      </c>
      <c r="L44" s="68" t="s">
        <v>457</v>
      </c>
      <c r="M44" s="68" t="s">
        <v>504</v>
      </c>
      <c r="N44" s="73"/>
      <c r="O44" s="71">
        <v>45496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Income Statement</vt:lpstr>
      <vt:lpstr>Balance Sheet</vt:lpstr>
      <vt:lpstr>Cash Flow</vt:lpstr>
      <vt:lpstr>Reconciliation</vt:lpstr>
      <vt:lpstr>SBC&amp;Amortization</vt:lpstr>
      <vt:lpstr>Ratios</vt:lpstr>
      <vt:lpstr>Overview</vt:lpstr>
      <vt:lpstr>Peers</vt:lpstr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Caballero Reyes</dc:creator>
  <cp:lastModifiedBy>Carlos Gabriel Caballero Reyes</cp:lastModifiedBy>
  <dcterms:created xsi:type="dcterms:W3CDTF">2025-06-13T06:41:32Z</dcterms:created>
  <dcterms:modified xsi:type="dcterms:W3CDTF">2025-06-21T21:56:49Z</dcterms:modified>
</cp:coreProperties>
</file>